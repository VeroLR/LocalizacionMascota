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aes-my.sharepoint.com/personal/veronica_lechon_estudiantes_uva_es/Documents/"/>
    </mc:Choice>
  </mc:AlternateContent>
  <xr:revisionPtr revIDLastSave="1149" documentId="8_{6FA8CD87-BCCD-44DC-9859-0E114EF987F0}" xr6:coauthVersionLast="47" xr6:coauthVersionMax="47" xr10:uidLastSave="{D3DAA984-36C1-486D-B97E-68AAC4891387}"/>
  <bookViews>
    <workbookView xWindow="11424" yWindow="0" windowWidth="11712" windowHeight="13056" firstSheet="1" activeTab="1" xr2:uid="{A9EB84FF-5E38-4127-ADF5-38881D491565}"/>
  </bookViews>
  <sheets>
    <sheet name="Mascota - Original" sheetId="6" r:id="rId1"/>
    <sheet name="Mascota - Optimización" sheetId="5" r:id="rId2"/>
    <sheet name="Usuario - Original" sheetId="7" r:id="rId3"/>
    <sheet name="Usuario - Optimizado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E6" i="5"/>
  <c r="E5" i="5"/>
  <c r="G3" i="5"/>
  <c r="H2" i="8"/>
  <c r="E2" i="5"/>
  <c r="C2" i="5"/>
  <c r="I2" i="8"/>
  <c r="C4" i="8"/>
  <c r="C2" i="7"/>
  <c r="D2" i="7"/>
  <c r="C2" i="8"/>
  <c r="G2" i="5"/>
  <c r="G2" i="7"/>
  <c r="G3" i="7"/>
  <c r="G4" i="7"/>
  <c r="G5" i="7"/>
  <c r="G6" i="7"/>
  <c r="G7" i="7"/>
  <c r="G8" i="7"/>
  <c r="G9" i="7"/>
  <c r="G10" i="7"/>
  <c r="G11" i="7"/>
  <c r="G12" i="7"/>
  <c r="H3" i="8"/>
  <c r="I3" i="8" s="1"/>
  <c r="H4" i="8"/>
  <c r="I4" i="8" s="1"/>
  <c r="H5" i="8"/>
  <c r="I5" i="8" s="1"/>
  <c r="H6" i="8"/>
  <c r="I6" i="8" s="1"/>
  <c r="H7" i="8"/>
  <c r="I7" i="8" s="1"/>
  <c r="H8" i="8"/>
  <c r="I8" i="8" s="1"/>
  <c r="H9" i="8"/>
  <c r="I9" i="8" s="1"/>
  <c r="H10" i="8"/>
  <c r="I10" i="8" s="1"/>
  <c r="H11" i="8"/>
  <c r="I11" i="8" s="1"/>
  <c r="B2" i="8"/>
  <c r="C6" i="8"/>
  <c r="C7" i="8"/>
  <c r="C3" i="6"/>
  <c r="D3" i="7"/>
  <c r="D4" i="7"/>
  <c r="D5" i="7"/>
  <c r="D6" i="7"/>
  <c r="D7" i="7"/>
  <c r="D8" i="7"/>
  <c r="D9" i="7"/>
  <c r="D10" i="7"/>
  <c r="D11" i="7"/>
  <c r="D12" i="7"/>
  <c r="H2" i="6"/>
  <c r="F12" i="7"/>
  <c r="H2" i="5"/>
  <c r="E11" i="5"/>
  <c r="F11" i="5" s="1"/>
  <c r="D2" i="6"/>
  <c r="F2" i="8"/>
  <c r="B6" i="8"/>
  <c r="H3" i="6"/>
  <c r="H4" i="6"/>
  <c r="H5" i="6"/>
  <c r="H6" i="6"/>
  <c r="H7" i="6"/>
  <c r="H8" i="6"/>
  <c r="H9" i="6"/>
  <c r="H10" i="6"/>
  <c r="H11" i="6"/>
  <c r="F2" i="5"/>
  <c r="F2" i="6"/>
  <c r="F3" i="6"/>
  <c r="F4" i="6"/>
  <c r="F5" i="6"/>
  <c r="F6" i="6"/>
  <c r="F7" i="6"/>
  <c r="F8" i="6"/>
  <c r="F9" i="6"/>
  <c r="F10" i="6"/>
  <c r="F11" i="6"/>
  <c r="D3" i="6"/>
  <c r="D4" i="6"/>
  <c r="D9" i="6"/>
  <c r="D10" i="6"/>
  <c r="C2" i="6"/>
  <c r="C11" i="6"/>
  <c r="D11" i="6" s="1"/>
  <c r="C10" i="6"/>
  <c r="C9" i="6"/>
  <c r="C8" i="6"/>
  <c r="D8" i="6" s="1"/>
  <c r="C7" i="6"/>
  <c r="D7" i="6" s="1"/>
  <c r="C6" i="6"/>
  <c r="D6" i="6" s="1"/>
  <c r="C5" i="6"/>
  <c r="D5" i="6" s="1"/>
  <c r="C4" i="6"/>
  <c r="E3" i="7"/>
  <c r="E4" i="7"/>
  <c r="E5" i="7"/>
  <c r="E6" i="7"/>
  <c r="E7" i="7"/>
  <c r="E8" i="7"/>
  <c r="E9" i="7"/>
  <c r="E10" i="7"/>
  <c r="E11" i="7"/>
  <c r="E2" i="7"/>
  <c r="F5" i="5"/>
  <c r="G11" i="5"/>
  <c r="H11" i="5" s="1"/>
  <c r="G8" i="5"/>
  <c r="H8" i="5" s="1"/>
  <c r="B11" i="8"/>
  <c r="C11" i="8" s="1"/>
  <c r="B10" i="8"/>
  <c r="C10" i="8" s="1"/>
  <c r="B9" i="8"/>
  <c r="C9" i="8" s="1"/>
  <c r="B8" i="8"/>
  <c r="C8" i="8" s="1"/>
  <c r="B7" i="8"/>
  <c r="B5" i="8"/>
  <c r="B4" i="8"/>
  <c r="B3" i="8"/>
  <c r="C3" i="8" s="1"/>
  <c r="B2" i="7"/>
  <c r="B3" i="7"/>
  <c r="C3" i="7" s="1"/>
  <c r="B4" i="7"/>
  <c r="C4" i="7" s="1"/>
  <c r="B5" i="7"/>
  <c r="C5" i="7" s="1"/>
  <c r="B7" i="7"/>
  <c r="C7" i="7" s="1"/>
  <c r="B8" i="7"/>
  <c r="C8" i="7" s="1"/>
  <c r="B9" i="7"/>
  <c r="C9" i="7" s="1"/>
  <c r="B10" i="7"/>
  <c r="C10" i="7" s="1"/>
  <c r="B11" i="7"/>
  <c r="C11" i="7" s="1"/>
  <c r="B6" i="7"/>
  <c r="C6" i="7" s="1"/>
  <c r="H3" i="5"/>
  <c r="G4" i="5"/>
  <c r="H4" i="5" s="1"/>
  <c r="G5" i="5"/>
  <c r="H5" i="5" s="1"/>
  <c r="G6" i="5"/>
  <c r="H6" i="5" s="1"/>
  <c r="G7" i="5"/>
  <c r="H7" i="5" s="1"/>
  <c r="G9" i="5"/>
  <c r="H9" i="5" s="1"/>
  <c r="G10" i="5"/>
  <c r="H10" i="5" s="1"/>
  <c r="E3" i="5"/>
  <c r="F3" i="5" s="1"/>
  <c r="E4" i="5"/>
  <c r="F4" i="5" s="1"/>
  <c r="F6" i="5"/>
  <c r="E7" i="5"/>
  <c r="F7" i="5" s="1"/>
  <c r="E8" i="5"/>
  <c r="F8" i="5" s="1"/>
  <c r="E9" i="5"/>
  <c r="F9" i="5" s="1"/>
  <c r="E10" i="5"/>
  <c r="F10" i="5" s="1"/>
  <c r="D2" i="5"/>
  <c r="C3" i="5"/>
  <c r="D3" i="5" s="1"/>
  <c r="C4" i="5"/>
  <c r="D4" i="5" s="1"/>
  <c r="C5" i="5"/>
  <c r="D5" i="5" s="1"/>
  <c r="D6" i="5"/>
  <c r="C7" i="5"/>
  <c r="D7" i="5" s="1"/>
  <c r="C8" i="5"/>
  <c r="D8" i="5" s="1"/>
  <c r="C9" i="5"/>
  <c r="D9" i="5" s="1"/>
  <c r="C10" i="5"/>
  <c r="D10" i="5" s="1"/>
  <c r="C11" i="5"/>
  <c r="D11" i="5" s="1"/>
  <c r="D2" i="8" l="1"/>
  <c r="D3" i="8"/>
  <c r="C5" i="8"/>
  <c r="D5" i="8" s="1"/>
  <c r="D9" i="8"/>
  <c r="D10" i="8"/>
  <c r="D6" i="8"/>
  <c r="D11" i="8"/>
  <c r="D4" i="8"/>
  <c r="F7" i="8"/>
  <c r="F8" i="8"/>
  <c r="E12" i="7"/>
  <c r="B29" i="7"/>
  <c r="C29" i="7" s="1"/>
  <c r="D29" i="7" s="1"/>
  <c r="B28" i="7"/>
  <c r="C28" i="7" s="1"/>
  <c r="D28" i="7" s="1"/>
  <c r="B25" i="7"/>
  <c r="C25" i="7" s="1"/>
  <c r="D25" i="7" s="1"/>
  <c r="B27" i="7"/>
  <c r="C27" i="7" s="1"/>
  <c r="D27" i="7" s="1"/>
  <c r="B26" i="7"/>
  <c r="C26" i="7" s="1"/>
  <c r="D26" i="7" s="1"/>
  <c r="B24" i="7"/>
  <c r="C24" i="7" s="1"/>
  <c r="D24" i="7" s="1"/>
  <c r="B23" i="7"/>
  <c r="C23" i="7" s="1"/>
  <c r="D23" i="7" s="1"/>
  <c r="D8" i="8"/>
  <c r="D7" i="8"/>
  <c r="B30" i="5"/>
  <c r="C30" i="5" s="1"/>
  <c r="D30" i="5" s="1"/>
  <c r="B28" i="5"/>
  <c r="C28" i="5" s="1"/>
  <c r="D28" i="5" s="1"/>
  <c r="B30" i="7"/>
  <c r="C30" i="7" s="1"/>
  <c r="D30" i="7" s="1"/>
  <c r="B22" i="7"/>
  <c r="C22" i="7" s="1"/>
  <c r="D22" i="7" s="1"/>
  <c r="C12" i="7"/>
  <c r="F3" i="8"/>
  <c r="F9" i="8"/>
  <c r="F10" i="8"/>
  <c r="F11" i="8"/>
  <c r="B30" i="6"/>
  <c r="C30" i="6" s="1"/>
  <c r="D30" i="6" s="1"/>
  <c r="B25" i="6"/>
  <c r="C25" i="6" s="1"/>
  <c r="D25" i="6" s="1"/>
  <c r="B24" i="6"/>
  <c r="C24" i="6" s="1"/>
  <c r="D24" i="6" s="1"/>
  <c r="B27" i="6"/>
  <c r="C27" i="6" s="1"/>
  <c r="D27" i="6" s="1"/>
  <c r="B29" i="6"/>
  <c r="C29" i="6" s="1"/>
  <c r="D29" i="6" s="1"/>
  <c r="B22" i="6"/>
  <c r="C22" i="6" s="1"/>
  <c r="D22" i="6" s="1"/>
  <c r="B23" i="6"/>
  <c r="C23" i="6" s="1"/>
  <c r="D23" i="6" s="1"/>
  <c r="B28" i="6"/>
  <c r="C28" i="6" s="1"/>
  <c r="D28" i="6" s="1"/>
  <c r="B21" i="6"/>
  <c r="B26" i="6"/>
  <c r="C26" i="6" s="1"/>
  <c r="D26" i="6" s="1"/>
  <c r="F6" i="8"/>
  <c r="F5" i="8"/>
  <c r="F4" i="8"/>
  <c r="B26" i="5"/>
  <c r="C26" i="5" s="1"/>
  <c r="D26" i="5" s="1"/>
  <c r="B22" i="5"/>
  <c r="C22" i="5" s="1"/>
  <c r="D22" i="5" s="1"/>
  <c r="B29" i="5"/>
  <c r="C29" i="5" s="1"/>
  <c r="D29" i="5" s="1"/>
  <c r="B27" i="5"/>
  <c r="C27" i="5" s="1"/>
  <c r="D27" i="5" s="1"/>
  <c r="B25" i="5"/>
  <c r="C25" i="5" s="1"/>
  <c r="D25" i="5" s="1"/>
  <c r="B24" i="5"/>
  <c r="C24" i="5" s="1"/>
  <c r="D24" i="5" s="1"/>
  <c r="B23" i="5"/>
  <c r="C23" i="5" s="1"/>
  <c r="D23" i="5" s="1"/>
  <c r="B21" i="5"/>
  <c r="C21" i="5" s="1"/>
  <c r="D21" i="5" s="1"/>
  <c r="C21" i="6" l="1"/>
  <c r="D21" i="6" s="1"/>
  <c r="B31" i="6"/>
  <c r="C31" i="6" s="1"/>
  <c r="D31" i="6" s="1"/>
  <c r="B25" i="8"/>
  <c r="C25" i="8" s="1"/>
  <c r="D25" i="8" s="1"/>
  <c r="B24" i="8"/>
  <c r="B23" i="8"/>
  <c r="C23" i="8" s="1"/>
  <c r="D23" i="8" s="1"/>
  <c r="B22" i="8"/>
  <c r="C22" i="8" s="1"/>
  <c r="D22" i="8" s="1"/>
  <c r="B21" i="8"/>
  <c r="C21" i="8" s="1"/>
  <c r="D21" i="8" s="1"/>
  <c r="B21" i="7"/>
  <c r="B31" i="7" s="1"/>
  <c r="C31" i="7" s="1"/>
  <c r="D31" i="7" s="1"/>
  <c r="C21" i="7" l="1"/>
  <c r="D21" i="7" s="1"/>
  <c r="G21" i="7"/>
  <c r="G27" i="7"/>
  <c r="G28" i="7"/>
  <c r="H28" i="7" s="1"/>
  <c r="G26" i="7"/>
  <c r="G25" i="7"/>
  <c r="G24" i="7"/>
  <c r="G23" i="7"/>
  <c r="G22" i="7"/>
  <c r="C24" i="8"/>
  <c r="D24" i="8" s="1"/>
  <c r="B30" i="8" l="1"/>
  <c r="C30" i="8" s="1"/>
  <c r="D30" i="8" s="1"/>
  <c r="B27" i="8"/>
  <c r="C27" i="8" s="1"/>
  <c r="D27" i="8" s="1"/>
  <c r="B28" i="8"/>
  <c r="C28" i="8" s="1"/>
  <c r="D28" i="8" s="1"/>
  <c r="B29" i="8"/>
  <c r="C29" i="8" s="1"/>
  <c r="D29" i="8" s="1"/>
  <c r="B26" i="8"/>
  <c r="H22" i="7"/>
  <c r="H23" i="7"/>
  <c r="H24" i="7"/>
  <c r="H25" i="7"/>
  <c r="H26" i="7"/>
  <c r="H27" i="7"/>
  <c r="H21" i="7"/>
  <c r="C26" i="8" l="1"/>
  <c r="D26" i="8" s="1"/>
  <c r="B31" i="8"/>
  <c r="C31" i="8" l="1"/>
  <c r="D31" i="8" s="1"/>
  <c r="G23" i="8"/>
  <c r="H23" i="8" s="1"/>
  <c r="G27" i="8"/>
  <c r="H27" i="8" s="1"/>
  <c r="G25" i="8"/>
  <c r="H25" i="8" s="1"/>
  <c r="G28" i="8"/>
  <c r="H28" i="8" s="1"/>
  <c r="G26" i="8"/>
  <c r="H26" i="8" s="1"/>
  <c r="G21" i="8"/>
  <c r="H21" i="8" s="1"/>
  <c r="G24" i="8"/>
  <c r="H24" i="8" s="1"/>
  <c r="G22" i="8"/>
  <c r="H22" i="8" s="1"/>
</calcChain>
</file>

<file path=xl/sharedStrings.xml><?xml version="1.0" encoding="utf-8"?>
<sst xmlns="http://schemas.openxmlformats.org/spreadsheetml/2006/main" count="158" uniqueCount="46">
  <si>
    <t>mA</t>
  </si>
  <si>
    <t>Autonomía (días)</t>
  </si>
  <si>
    <t>Autonomía (h)</t>
  </si>
  <si>
    <t>Irx</t>
  </si>
  <si>
    <t>W</t>
  </si>
  <si>
    <t>Consumo LoRa</t>
  </si>
  <si>
    <t>Periodo T (s)</t>
  </si>
  <si>
    <t>Itx @ 14 dBm</t>
  </si>
  <si>
    <t>s</t>
  </si>
  <si>
    <t>ToA</t>
  </si>
  <si>
    <t>Iready</t>
  </si>
  <si>
    <t>Iacq</t>
  </si>
  <si>
    <t>Itrack</t>
  </si>
  <si>
    <t>Isleep</t>
  </si>
  <si>
    <t>tTTFF</t>
  </si>
  <si>
    <t>ttrack</t>
  </si>
  <si>
    <t>Iact</t>
  </si>
  <si>
    <t>uact</t>
  </si>
  <si>
    <t>Consumo mCU (Pi Pico)</t>
  </si>
  <si>
    <t>Iidle</t>
  </si>
  <si>
    <t>Iquiesc</t>
  </si>
  <si>
    <t>I_avg (T) (mA)</t>
  </si>
  <si>
    <t>C</t>
  </si>
  <si>
    <t>mAh</t>
  </si>
  <si>
    <t>tmcuact</t>
  </si>
  <si>
    <t>n(t) = veces/h</t>
  </si>
  <si>
    <t>Ulora</t>
  </si>
  <si>
    <t>Ugnss</t>
  </si>
  <si>
    <t>Consumo GNSS</t>
  </si>
  <si>
    <t>Umcu</t>
  </si>
  <si>
    <t>Iquiesc DC-DC</t>
  </si>
  <si>
    <t>Iavg (T) (mA)</t>
  </si>
  <si>
    <t>LCD (sin backlight)</t>
  </si>
  <si>
    <t>Autonomía(h)</t>
  </si>
  <si>
    <t>Media</t>
  </si>
  <si>
    <t>C (mAh)</t>
  </si>
  <si>
    <t>Autonomía opt (h)</t>
  </si>
  <si>
    <t>Eventos n(T)</t>
  </si>
  <si>
    <t>Eventos n(t)</t>
  </si>
  <si>
    <t>Autonomía opt. (días)</t>
  </si>
  <si>
    <t>LCD (con backlight)</t>
  </si>
  <si>
    <t>ULCD</t>
  </si>
  <si>
    <t>LCD (backlight)</t>
  </si>
  <si>
    <t>LCD (no backlight)</t>
  </si>
  <si>
    <t xml:space="preserve">Consumo LCD </t>
  </si>
  <si>
    <t>ti_on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</si>
</sst>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"/>
    <numFmt numFmtId="167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/>
    <xf numFmtId="1" fontId="0" fillId="0" borderId="0" xfId="0" applyNumberFormat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7" borderId="0" xfId="0" applyFill="1"/>
    <xf numFmtId="167" fontId="0" fillId="0" borderId="0" xfId="0" applyNumberFormat="1" applyAlignment="1">
      <alignment horizontal="left"/>
    </xf>
    <xf numFmtId="0" fontId="0" fillId="8" borderId="0" xfId="0" applyFill="1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Autonomía (h) frente a periodo</a:t>
            </a:r>
            <a:r>
              <a:rPr lang="en-US" baseline="0"/>
              <a:t> de actualización T (s)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'Mascota - Original'!$C$20</c:f>
              <c:strCache>
                <c:ptCount val="1"/>
                <c:pt idx="0">
                  <c:v>Autonomía (h)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5636518455281764E-2"/>
                  <c:y val="6.23078814593871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 eventos/h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D62-4B76-928F-8BFEECCD7B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62-4B76-928F-8BFEECCD7B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62-4B76-928F-8BFEECCD7B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62-4B76-928F-8BFEECCD7BFF}"/>
                </c:ext>
              </c:extLst>
            </c:dLbl>
            <c:dLbl>
              <c:idx val="4"/>
              <c:layout>
                <c:manualLayout>
                  <c:x val="-5.125345675025382E-2"/>
                  <c:y val="0.1329383132738930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 eventos/h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D62-4B76-928F-8BFEECCD7B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62-4B76-928F-8BFEECCD7B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62-4B76-928F-8BFEECCD7BF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62-4B76-928F-8BFEECCD7BF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62-4B76-928F-8BFEECCD7BFF}"/>
                </c:ext>
              </c:extLst>
            </c:dLbl>
            <c:dLbl>
              <c:idx val="9"/>
              <c:layout>
                <c:manualLayout>
                  <c:x val="-6.3225391728513367E-2"/>
                  <c:y val="0.1002953654357815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 evento/h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D62-4B76-928F-8BFEECCD7B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'Mascota - Original'!$A$21:$A$30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180</c:v>
                </c:pt>
                <c:pt idx="3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'Mascota - Original'!$C$21:$C$30</c:f>
              <c:numCache>
                <c:formatCode>0.00</c:formatCode>
                <c:ptCount val="10"/>
                <c:pt idx="0">
                  <c:v>38.693844397502787</c:v>
                </c:pt>
                <c:pt idx="1">
                  <c:v>38.877298270364548</c:v>
                </c:pt>
                <c:pt idx="2">
                  <c:v>39.000570344340716</c:v>
                </c:pt>
                <c:pt idx="3">
                  <c:v>39.031510606891068</c:v>
                </c:pt>
                <c:pt idx="4">
                  <c:v>39.043900461917453</c:v>
                </c:pt>
                <c:pt idx="5">
                  <c:v>39.053198016397474</c:v>
                </c:pt>
                <c:pt idx="6">
                  <c:v>39.056298185317324</c:v>
                </c:pt>
                <c:pt idx="7">
                  <c:v>39.057848454360638</c:v>
                </c:pt>
                <c:pt idx="8">
                  <c:v>39.057848454360638</c:v>
                </c:pt>
                <c:pt idx="9">
                  <c:v>39.059398846479084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5-40B8-A843-18091F423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048720"/>
        <c:axId val="1476049680"/>
      </c:lineChart>
      <c:catAx>
        <c:axId val="147604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Periodo de actualización 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6049680"/>
        <c:crosses val="autoZero"/>
        <c:auto val="1"/>
        <c:lblAlgn val="ctr"/>
        <c:lblOffset val="100"/>
        <c:noMultiLvlLbl val="0"/>
      </c:catAx>
      <c:valAx>
        <c:axId val="14760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Horas</a:t>
                </a:r>
                <a:r>
                  <a:rPr lang="es-ES" baseline="0"/>
                  <a:t> de autonomía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604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Autonomía (días) frente al periodo de actualización T</a:t>
            </a:r>
            <a:r>
              <a:rPr lang="en-US" sz="1800" baseline="0"/>
              <a:t> (s)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2625730624259"/>
          <c:y val="0.20853717021464099"/>
          <c:w val="0.81845302296654965"/>
          <c:h val="0.63262371505284043"/>
        </c:manualLayout>
      </c:layout>
      <c:lineChart>
        <c:grouping val="standard"/>
        <c:varyColors val="0"/>
        <c:ser>
          <c:idx val="1"/>
          <c:order val="0"/>
          <c:tx>
            <c:strRef>
              <c:f>'Mascota - Optimización'!$D$20</c:f>
              <c:strCache>
                <c:ptCount val="1"/>
                <c:pt idx="0">
                  <c:v>Autonomía opt. (días)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228249683601167E-2"/>
                  <c:y val="-0.1835098644596571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 eventos/h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6CF-4219-8E56-39976A6D16C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CF-4219-8E56-39976A6D16CB}"/>
                </c:ext>
              </c:extLst>
            </c:dLbl>
            <c:dLbl>
              <c:idx val="2"/>
              <c:layout>
                <c:manualLayout>
                  <c:x val="-0.16321104706066503"/>
                  <c:y val="-0.135731540003394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60 eventos/h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6CF-4219-8E56-39976A6D16C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6CF-4219-8E56-39976A6D16CB}"/>
                </c:ext>
              </c:extLst>
            </c:dLbl>
            <c:dLbl>
              <c:idx val="4"/>
              <c:layout>
                <c:manualLayout>
                  <c:x val="-9.7279834234164989E-2"/>
                  <c:y val="-8.78667745975078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1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6 eventos/h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1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6CF-4219-8E56-39976A6D16C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CF-4219-8E56-39976A6D16C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CF-4219-8E56-39976A6D16C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CF-4219-8E56-39976A6D16C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6CF-4219-8E56-39976A6D16CB}"/>
                </c:ext>
              </c:extLst>
            </c:dLbl>
            <c:dLbl>
              <c:idx val="9"/>
              <c:layout>
                <c:manualLayout>
                  <c:x val="-5.7388333046535067E-2"/>
                  <c:y val="8.30096304957413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 evento/h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6CF-4219-8E56-39976A6D16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'Mascota - Optimización'!$A$21:$A$30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180</c:v>
                </c:pt>
                <c:pt idx="3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'Mascota - Optimización'!$D$21:$D$30</c:f>
              <c:numCache>
                <c:formatCode>0.00</c:formatCode>
                <c:ptCount val="10"/>
                <c:pt idx="0">
                  <c:v>3.5074028415847036</c:v>
                </c:pt>
                <c:pt idx="1">
                  <c:v>4.995962667644986</c:v>
                </c:pt>
                <c:pt idx="2">
                  <c:v>6.967255370777198</c:v>
                </c:pt>
                <c:pt idx="3">
                  <c:v>7.7297511638840275</c:v>
                </c:pt>
                <c:pt idx="4">
                  <c:v>8.0836193918352368</c:v>
                </c:pt>
                <c:pt idx="5">
                  <c:v>8.371039201229264</c:v>
                </c:pt>
                <c:pt idx="6">
                  <c:v>8.4714422592081977</c:v>
                </c:pt>
                <c:pt idx="7">
                  <c:v>8.5225524203374121</c:v>
                </c:pt>
                <c:pt idx="8">
                  <c:v>8.5225524203374121</c:v>
                </c:pt>
                <c:pt idx="9">
                  <c:v>8.5742830435909774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D9-4A7D-BCB4-5288EF577A9E}"/>
            </c:ext>
          </c:extLst>
        </c:ser>
        <c:ser>
          <c:idx val="0"/>
          <c:order val="1"/>
          <c:tx>
            <c:strRef>
              <c:f>'Mascota - Optimización'!$D$33</c:f>
              <c:strCache>
                <c:ptCount val="1"/>
                <c:pt idx="0">
                  <c:v>Autonomía (días)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175520869061323E-3"/>
                  <c:y val="-6.34195716197577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  <a:r>
                      <a:rPr lang="en-US" baseline="0"/>
                      <a:t> eventos/h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7BA-40E1-BB22-1C9142F622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A-40E1-BB22-1C9142F6222B}"/>
                </c:ext>
              </c:extLst>
            </c:dLbl>
            <c:dLbl>
              <c:idx val="2"/>
              <c:layout>
                <c:manualLayout>
                  <c:x val="3.6889315126296E-2"/>
                  <c:y val="-0.1204104026136264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60 eventos/h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7BA-40E1-BB22-1C9142F6222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A-40E1-BB22-1C9142F6222B}"/>
                </c:ext>
              </c:extLst>
            </c:dLbl>
            <c:dLbl>
              <c:idx val="4"/>
              <c:layout>
                <c:manualLayout>
                  <c:x val="1.9417323485681131E-2"/>
                  <c:y val="-6.01946058033381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 eventos/h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7BA-40E1-BB22-1C9142F6222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BA-40E1-BB22-1C9142F6222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BA-40E1-BB22-1C9142F6222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BA-40E1-BB22-1C9142F6222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BA-40E1-BB22-1C9142F6222B}"/>
                </c:ext>
              </c:extLst>
            </c:dLbl>
            <c:dLbl>
              <c:idx val="9"/>
              <c:layout>
                <c:manualLayout>
                  <c:x val="-0.11605471662340143"/>
                  <c:y val="-6.01374934553383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 evento/h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7BA-40E1-BB22-1C9142F622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'Mascota - Optimización'!$D$34:$D$43</c:f>
              <c:numCache>
                <c:formatCode>0.00</c:formatCode>
                <c:ptCount val="10"/>
                <c:pt idx="0">
                  <c:v>1.6122435165626161</c:v>
                </c:pt>
                <c:pt idx="1">
                  <c:v>1.6198874279318562</c:v>
                </c:pt>
                <c:pt idx="2">
                  <c:v>1.6250237643475298</c:v>
                </c:pt>
                <c:pt idx="3">
                  <c:v>1.6263129419537945</c:v>
                </c:pt>
                <c:pt idx="4">
                  <c:v>1.6268291859132271</c:v>
                </c:pt>
                <c:pt idx="5">
                  <c:v>1.6272165840165613</c:v>
                </c:pt>
                <c:pt idx="6">
                  <c:v>1.6273457577215551</c:v>
                </c:pt>
                <c:pt idx="7">
                  <c:v>1.6274103522650265</c:v>
                </c:pt>
                <c:pt idx="8">
                  <c:v>1.6274103522650265</c:v>
                </c:pt>
                <c:pt idx="9">
                  <c:v>1.6274749519366285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BA-40E1-BB22-1C9142F62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284688"/>
        <c:axId val="1563286608"/>
        <c:extLst/>
      </c:lineChart>
      <c:catAx>
        <c:axId val="156328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Período</a:t>
                </a:r>
                <a:r>
                  <a:rPr lang="es-ES" sz="1100" baseline="0"/>
                  <a:t> de actualización T (s)</a:t>
                </a:r>
                <a:endParaRPr lang="es-E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3286608"/>
        <c:crosses val="autoZero"/>
        <c:auto val="1"/>
        <c:lblAlgn val="ctr"/>
        <c:lblOffset val="100"/>
        <c:noMultiLvlLbl val="0"/>
      </c:catAx>
      <c:valAx>
        <c:axId val="15632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Autonomía</a:t>
                </a:r>
                <a:r>
                  <a:rPr lang="es-ES" sz="1100" baseline="0"/>
                  <a:t> (días)</a:t>
                </a:r>
                <a:endParaRPr lang="es-E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32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07707343076706"/>
          <c:y val="0.4374110479805034"/>
          <c:w val="0.24246541605356137"/>
          <c:h val="0.11153915013032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/>
              <a:t>Comparativa</a:t>
            </a:r>
            <a:r>
              <a:rPr lang="es-ES" sz="1800" baseline="0"/>
              <a:t> de consumo de los periféricos en función del período de actualización T (s)</a:t>
            </a:r>
            <a:endParaRPr lang="es-E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'Mascota - Optimización'!$D$1</c:f>
              <c:strCache>
                <c:ptCount val="1"/>
                <c:pt idx="0">
                  <c:v>Consumo LoRa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'Mascota - Optimización'!$A$2:$A$11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180</c:v>
                </c:pt>
                <c:pt idx="3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'Mascota - Optimización'!$D$2:$D$11</c:f>
              <c:numCache>
                <c:formatCode>0.00</c:formatCode>
                <c:ptCount val="10"/>
                <c:pt idx="0">
                  <c:v>1.0911040000000001</c:v>
                </c:pt>
                <c:pt idx="1">
                  <c:v>0.84555199999999997</c:v>
                </c:pt>
                <c:pt idx="2">
                  <c:v>0.68185066666666672</c:v>
                </c:pt>
                <c:pt idx="3">
                  <c:v>0.64092533333333335</c:v>
                </c:pt>
                <c:pt idx="4">
                  <c:v>0.62455519999999998</c:v>
                </c:pt>
                <c:pt idx="5">
                  <c:v>0.61227759999999998</c:v>
                </c:pt>
                <c:pt idx="6">
                  <c:v>0.60818506666666672</c:v>
                </c:pt>
                <c:pt idx="7">
                  <c:v>0.60613879999999987</c:v>
                </c:pt>
                <c:pt idx="8">
                  <c:v>0.60613879999999987</c:v>
                </c:pt>
                <c:pt idx="9">
                  <c:v>0.60409253333333335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D-4AE4-A8F9-7B2D874B12EF}"/>
            </c:ext>
          </c:extLst>
        </c:ser>
        <c:ser>
          <c:idx val="1"/>
          <c:order val="1"/>
          <c:tx>
            <c:strRef>
              <c:f>'Mascota - Optimización'!$F$1</c:f>
              <c:strCache>
                <c:ptCount val="1"/>
                <c:pt idx="0">
                  <c:v>Consumo GNSS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'Mascota - Optimización'!$A$2:$A$11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180</c:v>
                </c:pt>
                <c:pt idx="3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'Mascota - Optimización'!$F$2:$F$11</c:f>
              <c:numCache>
                <c:formatCode>0.00</c:formatCode>
                <c:ptCount val="10"/>
                <c:pt idx="0">
                  <c:v>8.3348332999999997</c:v>
                </c:pt>
                <c:pt idx="1">
                  <c:v>4.1679166499999996</c:v>
                </c:pt>
                <c:pt idx="2">
                  <c:v>1.3899722166666666</c:v>
                </c:pt>
                <c:pt idx="3">
                  <c:v>0.69548610833333335</c:v>
                </c:pt>
                <c:pt idx="4">
                  <c:v>0.41769166499999999</c:v>
                </c:pt>
                <c:pt idx="5">
                  <c:v>0.2093458325</c:v>
                </c:pt>
                <c:pt idx="6">
                  <c:v>0.13989722166666668</c:v>
                </c:pt>
                <c:pt idx="7">
                  <c:v>0.10517291625</c:v>
                </c:pt>
                <c:pt idx="8">
                  <c:v>0.10517291625</c:v>
                </c:pt>
                <c:pt idx="9">
                  <c:v>7.0448610833333342E-2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D-4AE4-A8F9-7B2D874B12EF}"/>
            </c:ext>
          </c:extLst>
        </c:ser>
        <c:ser>
          <c:idx val="2"/>
          <c:order val="2"/>
          <c:tx>
            <c:strRef>
              <c:f>'Mascota - Optimización'!$H$1</c:f>
              <c:strCache>
                <c:ptCount val="1"/>
                <c:pt idx="0">
                  <c:v>Consumo mCU (Pi Pico)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'Mascota - Optimización'!$A$2:$A$11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180</c:v>
                </c:pt>
                <c:pt idx="3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'Mascota - Optimización'!$H$2:$H$11</c:f>
              <c:numCache>
                <c:formatCode>0.00</c:formatCode>
                <c:ptCount val="10"/>
                <c:pt idx="0">
                  <c:v>14.333333333333334</c:v>
                </c:pt>
                <c:pt idx="1">
                  <c:v>11.666666666666666</c:v>
                </c:pt>
                <c:pt idx="2">
                  <c:v>9.8888888888888893</c:v>
                </c:pt>
                <c:pt idx="3">
                  <c:v>9.4444444444444446</c:v>
                </c:pt>
                <c:pt idx="4">
                  <c:v>9.2666666666666657</c:v>
                </c:pt>
                <c:pt idx="5">
                  <c:v>9.1333333333333346</c:v>
                </c:pt>
                <c:pt idx="6">
                  <c:v>9.0888888888888886</c:v>
                </c:pt>
                <c:pt idx="7">
                  <c:v>9.0666666666666664</c:v>
                </c:pt>
                <c:pt idx="8">
                  <c:v>9.0666666666666664</c:v>
                </c:pt>
                <c:pt idx="9">
                  <c:v>9.0444444444444443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BD-4AE4-A8F9-7B2D874B1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138544"/>
        <c:axId val="363141424"/>
      </c:barChart>
      <c:catAx>
        <c:axId val="36313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Periodo</a:t>
                </a:r>
                <a:r>
                  <a:rPr lang="es-ES" sz="1100" baseline="0"/>
                  <a:t> de actualización T (s)</a:t>
                </a:r>
                <a:endParaRPr lang="es-E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141424"/>
        <c:crosses val="autoZero"/>
        <c:auto val="1"/>
        <c:lblAlgn val="ctr"/>
        <c:lblOffset val="100"/>
        <c:noMultiLvlLbl val="0"/>
      </c:catAx>
      <c:valAx>
        <c:axId val="3631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Consumo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13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Autonomía</a:t>
            </a:r>
            <a:r>
              <a:rPr lang="en-US" baseline="0"/>
              <a:t> en días según la capacidad de la batería elegida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'Usuario - Original'!$H$20</c:f>
              <c:strCache>
                <c:ptCount val="1"/>
                <c:pt idx="0">
                  <c:v>Autonomía (días)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'Usuario - Original'!$F$21:$F$28</c:f>
              <c:numCache>
                <c:formatCode>General</c:formatCode>
                <c:ptCount val="8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3000</c:v>
                </c:pt>
                <c:pt idx="7">
                  <c:v>4000</c:v>
                </c:pt>
              </c:numCache>
            </c:numRef>
          </c:cat>
          <c:val>
            <c:numRef>
              <c:f>'Usuario - Original'!$H$21:$H$28</c:f>
              <c:numCache>
                <c:formatCode>0.00</c:formatCode>
                <c:ptCount val="8"/>
                <c:pt idx="0">
                  <c:v>0.20470996691886936</c:v>
                </c:pt>
                <c:pt idx="1">
                  <c:v>0.2865939536864171</c:v>
                </c:pt>
                <c:pt idx="2">
                  <c:v>0.36847794045396487</c:v>
                </c:pt>
                <c:pt idx="3">
                  <c:v>0.40941993383773873</c:v>
                </c:pt>
                <c:pt idx="4">
                  <c:v>0.614129900756608</c:v>
                </c:pt>
                <c:pt idx="5">
                  <c:v>0.81883986767547745</c:v>
                </c:pt>
                <c:pt idx="6">
                  <c:v>1.228259801513216</c:v>
                </c:pt>
                <c:pt idx="7">
                  <c:v>1.6376797353509549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7-414E-8E57-3D1A7AC0E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557984"/>
        <c:axId val="1643558944"/>
      </c:lineChart>
      <c:catAx>
        <c:axId val="16435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3558944"/>
        <c:crosses val="autoZero"/>
        <c:auto val="1"/>
        <c:lblAlgn val="ctr"/>
        <c:lblOffset val="100"/>
        <c:noMultiLvlLbl val="0"/>
      </c:catAx>
      <c:valAx>
        <c:axId val="16435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35579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Horas de autonomía (h) frente a Periodo de actualización T (s)</a:t>
            </a:r>
          </a:p>
        </c:rich>
      </c:tx>
      <c:layout>
        <c:manualLayout>
          <c:xMode val="edge"/>
          <c:yMode val="edge"/>
          <c:x val="0.16556604693220833"/>
          <c:y val="2.2307118784885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086610084739325"/>
          <c:y val="0.18151445241376127"/>
          <c:w val="0.83037812566315183"/>
          <c:h val="0.6672575449548801"/>
        </c:manualLayout>
      </c:layout>
      <c:lineChart>
        <c:grouping val="standard"/>
        <c:varyColors val="0"/>
        <c:ser>
          <c:idx val="1"/>
          <c:order val="1"/>
          <c:tx>
            <c:strRef>
              <c:f>'Usuario - Optimizado'!$C$20</c:f>
              <c:strCache>
                <c:ptCount val="1"/>
                <c:pt idx="0">
                  <c:v>Autonomía opt (h)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553717154184007E-2"/>
                  <c:y val="7.19583587734626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</a:t>
                    </a:r>
                    <a:r>
                      <a:rPr lang="en-US" baseline="0"/>
                      <a:t> eventos/h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5DC-4501-A60A-3B2BEC9DC03E}"/>
                </c:ext>
              </c:extLst>
            </c:dLbl>
            <c:dLbl>
              <c:idx val="1"/>
              <c:layout>
                <c:manualLayout>
                  <c:x val="-0.1268558323193591"/>
                  <c:y val="-7.81944018648739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60</a:t>
                    </a:r>
                    <a:r>
                      <a:rPr lang="en-US" baseline="0"/>
                      <a:t> eventos/h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5DC-4501-A60A-3B2BEC9DC0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DC-4501-A60A-3B2BEC9DC03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DC-4501-A60A-3B2BEC9DC03E}"/>
                </c:ext>
              </c:extLst>
            </c:dLbl>
            <c:dLbl>
              <c:idx val="4"/>
              <c:layout>
                <c:manualLayout>
                  <c:x val="-0.17642771466202445"/>
                  <c:y val="-6.49781155440877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 eventos/h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5DC-4501-A60A-3B2BEC9DC03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DC-4501-A60A-3B2BEC9DC03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DC-4501-A60A-3B2BEC9DC03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DC-4501-A60A-3B2BEC9DC03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DC-4501-A60A-3B2BEC9DC03E}"/>
                </c:ext>
              </c:extLst>
            </c:dLbl>
            <c:dLbl>
              <c:idx val="9"/>
              <c:layout>
                <c:manualLayout>
                  <c:x val="-9.4698177647770262E-2"/>
                  <c:y val="-5.04835401855586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 evento/h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5DC-4501-A60A-3B2BEC9DC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'Usuario - Optimizado'!$A$34:$A$43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 formatCode="General">
                  <c:v>180</c:v>
                </c:pt>
                <c:pt idx="3" formatCode="General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'Usuario - Optimizado'!$C$21:$C$30</c:f>
              <c:numCache>
                <c:formatCode>0.00</c:formatCode>
                <c:ptCount val="10"/>
                <c:pt idx="0">
                  <c:v>35.323207347227125</c:v>
                </c:pt>
                <c:pt idx="1">
                  <c:v>37.183936539414972</c:v>
                </c:pt>
                <c:pt idx="2">
                  <c:v>38.537295538237565</c:v>
                </c:pt>
                <c:pt idx="3">
                  <c:v>38.891169543893007</c:v>
                </c:pt>
                <c:pt idx="4">
                  <c:v>39.034545572831959</c:v>
                </c:pt>
                <c:pt idx="5">
                  <c:v>39.142773265485857</c:v>
                </c:pt>
                <c:pt idx="6">
                  <c:v>39.178982652417126</c:v>
                </c:pt>
                <c:pt idx="7">
                  <c:v>39.197112479380685</c:v>
                </c:pt>
                <c:pt idx="8">
                  <c:v>39.20799843168006</c:v>
                </c:pt>
                <c:pt idx="9">
                  <c:v>39.215249004119002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C-4118-A0E2-4D1D8B1C1FD2}"/>
            </c:ext>
          </c:extLst>
        </c:ser>
        <c:ser>
          <c:idx val="2"/>
          <c:order val="2"/>
          <c:tx>
            <c:strRef>
              <c:f>'Usuario - Optimizado'!$C$33</c:f>
              <c:strCache>
                <c:ptCount val="1"/>
                <c:pt idx="0">
                  <c:v>Autonomía (h)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1945601439605025E-2"/>
                  <c:y val="-0.1248823696577142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 eventos/h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522-4816-ADD2-6E67CA6D2F5E}"/>
                </c:ext>
              </c:extLst>
            </c:dLbl>
            <c:dLbl>
              <c:idx val="1"/>
              <c:layout>
                <c:manualLayout>
                  <c:x val="4.4153264673268446E-2"/>
                  <c:y val="-5.931912558741421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60 eventos/h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2522-4816-ADD2-6E67CA6D2F5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522-4816-ADD2-6E67CA6D2F5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522-4816-ADD2-6E67CA6D2F5E}"/>
                </c:ext>
              </c:extLst>
            </c:dLbl>
            <c:dLbl>
              <c:idx val="4"/>
              <c:layout>
                <c:manualLayout>
                  <c:x val="-5.0776254374258714E-2"/>
                  <c:y val="-0.1155161919333855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 eventos/h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2522-4816-ADD2-6E67CA6D2F5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522-4816-ADD2-6E67CA6D2F5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522-4816-ADD2-6E67CA6D2F5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522-4816-ADD2-6E67CA6D2F5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522-4816-ADD2-6E67CA6D2F5E}"/>
                </c:ext>
              </c:extLst>
            </c:dLbl>
            <c:dLbl>
              <c:idx val="9"/>
              <c:layout>
                <c:manualLayout>
                  <c:x val="-3.5322611738614923E-2"/>
                  <c:y val="-9.99058957261713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 evento/h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2522-4816-ADD2-6E67CA6D2F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'Usuario - Optimizado'!$A$34:$A$43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 formatCode="General">
                  <c:v>180</c:v>
                </c:pt>
                <c:pt idx="3" formatCode="General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'Usuario - Optimizado'!$C$34:$C$43</c:f>
              <c:numCache>
                <c:formatCode>0.00</c:formatCode>
                <c:ptCount val="10"/>
                <c:pt idx="0">
                  <c:v>19.65215682421146</c:v>
                </c:pt>
                <c:pt idx="1">
                  <c:v>19.65215682421146</c:v>
                </c:pt>
                <c:pt idx="2">
                  <c:v>19.65215682421146</c:v>
                </c:pt>
                <c:pt idx="3">
                  <c:v>19.65215682421146</c:v>
                </c:pt>
                <c:pt idx="4">
                  <c:v>19.65215682421146</c:v>
                </c:pt>
                <c:pt idx="5">
                  <c:v>19.65215682421146</c:v>
                </c:pt>
                <c:pt idx="6">
                  <c:v>19.65215682421146</c:v>
                </c:pt>
                <c:pt idx="7">
                  <c:v>19.65215682421146</c:v>
                </c:pt>
                <c:pt idx="8">
                  <c:v>19.65215682421146</c:v>
                </c:pt>
                <c:pt idx="9">
                  <c:v>19.65215682421146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DC-4501-A60A-3B2BEC9DC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179856"/>
        <c:axId val="2381803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'Usuario - Optimizado'!$A$34:$A$43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30</c:v>
                      </c:pt>
                      <c:pt idx="1">
                        <c:v>60</c:v>
                      </c:pt>
                      <c:pt idx="2" formatCode="General">
                        <c:v>180</c:v>
                      </c:pt>
                      <c:pt idx="3" formatCode="General">
                        <c:v>360</c:v>
                      </c:pt>
                      <c:pt idx="4">
                        <c:v>600</c:v>
                      </c:pt>
                      <c:pt idx="5">
                        <c:v>1200</c:v>
                      </c:pt>
                      <c:pt idx="6">
                        <c:v>1800</c:v>
                      </c:pt>
                      <c:pt idx="7">
                        <c:v>2400</c:v>
                      </c:pt>
                      <c:pt idx="8">
                        <c:v>3000</c:v>
                      </c:pt>
                      <c:pt idx="9">
                        <c:v>3599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'Usuario - Optimizado'!$A$21:$A$30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30</c:v>
                      </c:pt>
                      <c:pt idx="1">
                        <c:v>60</c:v>
                      </c:pt>
                      <c:pt idx="2">
                        <c:v>180</c:v>
                      </c:pt>
                      <c:pt idx="3">
                        <c:v>360</c:v>
                      </c:pt>
                      <c:pt idx="4">
                        <c:v>600</c:v>
                      </c:pt>
                      <c:pt idx="5">
                        <c:v>1200</c:v>
                      </c:pt>
                      <c:pt idx="6">
                        <c:v>1800</c:v>
                      </c:pt>
                      <c:pt idx="7">
                        <c:v>2400</c:v>
                      </c:pt>
                      <c:pt idx="8">
                        <c:v>3000</c:v>
                      </c:pt>
                      <c:pt idx="9">
                        <c:v>3599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E4C-4118-A0E2-4D1D8B1C1FD2}"/>
                  </c:ext>
                </c:extLst>
              </c15:ser>
            </c15:filteredLineSeries>
          </c:ext>
        </c:extLst>
      </c:lineChart>
      <c:catAx>
        <c:axId val="2381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Periodo de actualización 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8180336"/>
        <c:crosses val="autoZero"/>
        <c:auto val="1"/>
        <c:lblAlgn val="ctr"/>
        <c:lblOffset val="100"/>
        <c:tickLblSkip val="1"/>
        <c:noMultiLvlLbl val="0"/>
      </c:catAx>
      <c:valAx>
        <c:axId val="238180336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Horas de autonomía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817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563418429190253"/>
          <c:y val="0.45399068003858578"/>
          <c:w val="0.27323963603183277"/>
          <c:h val="0.120414863093901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Comparativa de consumo de los periféricos en función del período de actualización T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'Usuario - Optimizado'!$F$1</c:f>
              <c:strCache>
                <c:ptCount val="1"/>
                <c:pt idx="0">
                  <c:v>Consumo LoRa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'Usuario - Optimizado'!$A$21:$A$30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180</c:v>
                </c:pt>
                <c:pt idx="3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'Usuario - Optimizado'!$F$2:$F$11</c:f>
              <c:numCache>
                <c:formatCode>0.000</c:formatCode>
                <c:ptCount val="10"/>
                <c:pt idx="0">
                  <c:v>4.5999999999999996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2-4488-BA81-2B333DA13A52}"/>
            </c:ext>
          </c:extLst>
        </c:ser>
        <c:ser>
          <c:idx val="2"/>
          <c:order val="1"/>
          <c:tx>
            <c:strRef>
              <c:f>'Usuario - Optimizado'!$I$1</c:f>
              <c:strCache>
                <c:ptCount val="1"/>
                <c:pt idx="0">
                  <c:v>Consumo LCD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'Usuario - Optimizado'!$A$21:$A$30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180</c:v>
                </c:pt>
                <c:pt idx="3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'Usuario - Optimizado'!$I$2:$I$11</c:f>
              <c:numCache>
                <c:formatCode>0.00</c:formatCode>
                <c:ptCount val="10"/>
                <c:pt idx="0">
                  <c:v>3.1833333333333327</c:v>
                </c:pt>
                <c:pt idx="1">
                  <c:v>3.1833333333333327</c:v>
                </c:pt>
                <c:pt idx="2">
                  <c:v>3.1833333333333327</c:v>
                </c:pt>
                <c:pt idx="3">
                  <c:v>3.1833333333333327</c:v>
                </c:pt>
                <c:pt idx="4">
                  <c:v>3.1833333333333327</c:v>
                </c:pt>
                <c:pt idx="5">
                  <c:v>3.1833333333333327</c:v>
                </c:pt>
                <c:pt idx="6">
                  <c:v>3.1833333333333327</c:v>
                </c:pt>
                <c:pt idx="7">
                  <c:v>3.1833333333333327</c:v>
                </c:pt>
                <c:pt idx="8">
                  <c:v>3.1833333333333327</c:v>
                </c:pt>
                <c:pt idx="9">
                  <c:v>3.1833333333333327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72-4488-BA81-2B333DA13A52}"/>
            </c:ext>
          </c:extLst>
        </c:ser>
        <c:ser>
          <c:idx val="0"/>
          <c:order val="2"/>
          <c:tx>
            <c:strRef>
              <c:f>'Usuario - Optimizado'!$D$1</c:f>
              <c:strCache>
                <c:ptCount val="1"/>
                <c:pt idx="0">
                  <c:v>Consumo mCU (Pi Pico)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'Usuario - Optimizado'!$A$21:$A$30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180</c:v>
                </c:pt>
                <c:pt idx="3">
                  <c:v>360</c:v>
                </c:pt>
                <c:pt idx="4">
                  <c:v>600</c:v>
                </c:pt>
                <c:pt idx="5">
                  <c:v>1200</c:v>
                </c:pt>
                <c:pt idx="6">
                  <c:v>1800</c:v>
                </c:pt>
                <c:pt idx="7">
                  <c:v>2400</c:v>
                </c:pt>
                <c:pt idx="8">
                  <c:v>3000</c:v>
                </c:pt>
                <c:pt idx="9">
                  <c:v>3599</c:v>
                </c:pt>
              </c:numCache>
            </c:numRef>
          </c:cat>
          <c:val>
            <c:numRef>
              <c:f>'Usuario - Optimizado'!$D$2:$D$11</c:f>
              <c:numCache>
                <c:formatCode>0.00</c:formatCode>
                <c:ptCount val="10"/>
                <c:pt idx="0">
                  <c:v>48.666666666666671</c:v>
                </c:pt>
                <c:pt idx="1">
                  <c:v>45.833333333333336</c:v>
                </c:pt>
                <c:pt idx="2">
                  <c:v>43.944444444444443</c:v>
                </c:pt>
                <c:pt idx="3">
                  <c:v>43.472222222222221</c:v>
                </c:pt>
                <c:pt idx="4">
                  <c:v>43.283333333333331</c:v>
                </c:pt>
                <c:pt idx="5">
                  <c:v>43.141666666666666</c:v>
                </c:pt>
                <c:pt idx="6">
                  <c:v>43.094444444444449</c:v>
                </c:pt>
                <c:pt idx="7">
                  <c:v>43.070833333333333</c:v>
                </c:pt>
                <c:pt idx="8">
                  <c:v>43.056666666666672</c:v>
                </c:pt>
                <c:pt idx="9">
                  <c:v>43.047235343150874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488-BA81-2B333DA1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918560"/>
        <c:axId val="1964919040"/>
      </c:barChart>
      <c:catAx>
        <c:axId val="196491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Periodo de actualización 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4919040"/>
        <c:crosses val="autoZero"/>
        <c:auto val="1"/>
        <c:lblAlgn val="ctr"/>
        <c:lblOffset val="100"/>
        <c:noMultiLvlLbl val="0"/>
      </c:catAx>
      <c:valAx>
        <c:axId val="196491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Consumo</a:t>
                </a:r>
                <a:r>
                  <a:rPr lang="es-ES" baseline="0"/>
                  <a:t>  (mA)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491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528961</xdr:colOff>
      <xdr:row>2</xdr:row>
      <xdr:rowOff>128791</xdr:rowOff>
    </xdr:from>
    <xdr:to>
      <xdr:col>16</xdr:col>
      <xdr:colOff>154337</xdr:colOff>
      <xdr:row>19</xdr:row>
      <xdr:rowOff>142913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56D2F6-A454-0A3B-487B-81416D10D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384056</xdr:colOff>
      <xdr:row>0</xdr:row>
      <xdr:rowOff>129174</xdr:rowOff>
    </xdr:from>
    <xdr:to>
      <xdr:col>16</xdr:col>
      <xdr:colOff>443345</xdr:colOff>
      <xdr:row>22</xdr:row>
      <xdr:rowOff>13855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34F4A9-FA9E-7FCE-6389-EAC3C8FDE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418488</xdr:colOff>
      <xdr:row>23</xdr:row>
      <xdr:rowOff>149546</xdr:rowOff>
    </xdr:from>
    <xdr:to>
      <xdr:col>16</xdr:col>
      <xdr:colOff>439271</xdr:colOff>
      <xdr:row>44</xdr:row>
      <xdr:rowOff>179293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3008A70-C50D-B01D-672A-D6F42C2AD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1002221</xdr:colOff>
      <xdr:row>18</xdr:row>
      <xdr:rowOff>105709</xdr:rowOff>
    </xdr:from>
    <xdr:to>
      <xdr:col>14</xdr:col>
      <xdr:colOff>385138</xdr:colOff>
      <xdr:row>33</xdr:row>
      <xdr:rowOff>170003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1C155C-B997-4CBD-00DE-0107ECBC8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131318</xdr:colOff>
      <xdr:row>0</xdr:row>
      <xdr:rowOff>146127</xdr:rowOff>
    </xdr:from>
    <xdr:to>
      <xdr:col>18</xdr:col>
      <xdr:colOff>446096</xdr:colOff>
      <xdr:row>22</xdr:row>
      <xdr:rowOff>180511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6126D2-9C9A-B24E-4CB9-360172F86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185666</xdr:colOff>
      <xdr:row>24</xdr:row>
      <xdr:rowOff>14722</xdr:rowOff>
    </xdr:from>
    <xdr:to>
      <xdr:col>19</xdr:col>
      <xdr:colOff>84666</xdr:colOff>
      <xdr:row>46</xdr:row>
      <xdr:rowOff>120953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2D2628-4477-8EEC-80D2-6FD0ECC8A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0729-8FE4-46C2-BC86-119376B1CB98}">
  <dimension ref="A1:I31"/>
  <sheetViews>
    <sheetView topLeftCell="B1" zoomScale="84" zoomScaleNormal="70" workbookViewId="0">
      <selection activeCell="F9" sqref="F9"/>
    </sheetView>
  </sheetViews>
  <sheetFormatPr baseColWidth="10" defaultRowHeight="14.4" x14ac:dyDescent="0.3"/>
  <cols>
    <col min="1" max="1" width="11.6640625" bestFit="1" customWidth="1"/>
    <col min="2" max="2" width="12.44140625" bestFit="1" customWidth="1"/>
    <col min="3" max="3" width="12.5546875" bestFit="1" customWidth="1"/>
    <col min="6" max="6" width="14.33203125" bestFit="1" customWidth="1"/>
    <col min="8" max="8" width="21.33203125" bestFit="1" customWidth="1"/>
  </cols>
  <sheetData>
    <row r="1" spans="1:9" x14ac:dyDescent="0.3">
      <c r="A1" t="s">
        <v>6</v>
      </c>
      <c r="B1" t="s">
        <v>25</v>
      </c>
      <c r="C1" t="s">
        <v>26</v>
      </c>
      <c r="D1" s="2" t="s">
        <v>5</v>
      </c>
      <c r="E1" t="s">
        <v>27</v>
      </c>
      <c r="F1" s="3" t="s">
        <v>28</v>
      </c>
      <c r="G1" t="s">
        <v>29</v>
      </c>
      <c r="H1" s="4" t="s">
        <v>18</v>
      </c>
      <c r="I1" t="s">
        <v>20</v>
      </c>
    </row>
    <row r="2" spans="1:9" x14ac:dyDescent="0.3">
      <c r="A2" s="7">
        <v>30</v>
      </c>
      <c r="B2">
        <v>120</v>
      </c>
      <c r="C2">
        <f>B2*B$15/B$13</f>
        <v>5.4933333333333336E-3</v>
      </c>
      <c r="D2" s="1">
        <f>$B$14*C2+$B$16*(1-C2)</f>
        <v>1.687808</v>
      </c>
      <c r="E2">
        <v>1</v>
      </c>
      <c r="F2" s="1">
        <f>E$15*E2</f>
        <v>25</v>
      </c>
      <c r="G2">
        <v>1</v>
      </c>
      <c r="H2" s="1">
        <f>H$14*(G2)+H$15*(1-G2)</f>
        <v>25</v>
      </c>
      <c r="I2">
        <v>0.12</v>
      </c>
    </row>
    <row r="3" spans="1:9" x14ac:dyDescent="0.3">
      <c r="A3" s="7">
        <v>60</v>
      </c>
      <c r="B3">
        <v>60</v>
      </c>
      <c r="C3">
        <f>B3*B$15/B$13</f>
        <v>2.7466666666666668E-3</v>
      </c>
      <c r="D3" s="1">
        <f t="shared" ref="D3:D11" si="0">$B$14*C3+$B$16*(1-C3)</f>
        <v>1.4439040000000001</v>
      </c>
      <c r="E3">
        <v>1</v>
      </c>
      <c r="F3" s="1">
        <f t="shared" ref="F3:F11" si="1">E$15*E3</f>
        <v>25</v>
      </c>
      <c r="G3">
        <v>1</v>
      </c>
      <c r="H3" s="1">
        <f t="shared" ref="H3:H11" si="2">H$14*(G3)+H$15*(1-G3)</f>
        <v>25</v>
      </c>
      <c r="I3">
        <v>0.12</v>
      </c>
    </row>
    <row r="4" spans="1:9" x14ac:dyDescent="0.3">
      <c r="A4" s="7">
        <v>180</v>
      </c>
      <c r="B4">
        <v>20</v>
      </c>
      <c r="C4">
        <f t="shared" ref="C4:C11" si="3">B4*B$15/B$13</f>
        <v>9.1555555555555563E-4</v>
      </c>
      <c r="D4" s="1">
        <f t="shared" si="0"/>
        <v>1.2813013333333334</v>
      </c>
      <c r="E4">
        <v>1</v>
      </c>
      <c r="F4" s="1">
        <f t="shared" si="1"/>
        <v>25</v>
      </c>
      <c r="G4">
        <v>1</v>
      </c>
      <c r="H4" s="1">
        <f t="shared" si="2"/>
        <v>25</v>
      </c>
      <c r="I4">
        <v>0.12</v>
      </c>
    </row>
    <row r="5" spans="1:9" x14ac:dyDescent="0.3">
      <c r="A5" s="7">
        <v>360</v>
      </c>
      <c r="B5">
        <v>10</v>
      </c>
      <c r="C5">
        <f t="shared" si="3"/>
        <v>4.5777777777777782E-4</v>
      </c>
      <c r="D5" s="1">
        <f t="shared" si="0"/>
        <v>1.2406506666666666</v>
      </c>
      <c r="E5">
        <v>1</v>
      </c>
      <c r="F5" s="1">
        <f t="shared" si="1"/>
        <v>25</v>
      </c>
      <c r="G5">
        <v>1</v>
      </c>
      <c r="H5" s="1">
        <f t="shared" si="2"/>
        <v>25</v>
      </c>
      <c r="I5">
        <v>0.12</v>
      </c>
    </row>
    <row r="6" spans="1:9" x14ac:dyDescent="0.3">
      <c r="A6" s="7">
        <v>600</v>
      </c>
      <c r="B6">
        <v>6</v>
      </c>
      <c r="C6">
        <f t="shared" si="3"/>
        <v>2.7466666666666666E-4</v>
      </c>
      <c r="D6" s="1">
        <f t="shared" si="0"/>
        <v>1.2243904000000001</v>
      </c>
      <c r="E6">
        <v>1</v>
      </c>
      <c r="F6" s="1">
        <f t="shared" si="1"/>
        <v>25</v>
      </c>
      <c r="G6">
        <v>1</v>
      </c>
      <c r="H6" s="1">
        <f t="shared" si="2"/>
        <v>25</v>
      </c>
      <c r="I6">
        <v>0.12</v>
      </c>
    </row>
    <row r="7" spans="1:9" x14ac:dyDescent="0.3">
      <c r="A7" s="7">
        <v>1200</v>
      </c>
      <c r="B7">
        <v>3</v>
      </c>
      <c r="C7">
        <f t="shared" si="3"/>
        <v>1.3733333333333333E-4</v>
      </c>
      <c r="D7" s="1">
        <f t="shared" si="0"/>
        <v>1.2121951999999998</v>
      </c>
      <c r="E7">
        <v>1</v>
      </c>
      <c r="F7" s="1">
        <f t="shared" si="1"/>
        <v>25</v>
      </c>
      <c r="G7">
        <v>1</v>
      </c>
      <c r="H7" s="1">
        <f t="shared" si="2"/>
        <v>25</v>
      </c>
      <c r="I7">
        <v>0.12</v>
      </c>
    </row>
    <row r="8" spans="1:9" x14ac:dyDescent="0.3">
      <c r="A8" s="7">
        <v>1800</v>
      </c>
      <c r="B8">
        <v>2</v>
      </c>
      <c r="C8">
        <f t="shared" si="3"/>
        <v>9.1555555555555552E-5</v>
      </c>
      <c r="D8" s="1">
        <f t="shared" si="0"/>
        <v>1.2081301333333334</v>
      </c>
      <c r="E8">
        <v>1</v>
      </c>
      <c r="F8" s="1">
        <f t="shared" si="1"/>
        <v>25</v>
      </c>
      <c r="G8">
        <v>1</v>
      </c>
      <c r="H8" s="1">
        <f t="shared" si="2"/>
        <v>25</v>
      </c>
      <c r="I8">
        <v>0.12</v>
      </c>
    </row>
    <row r="9" spans="1:9" x14ac:dyDescent="0.3">
      <c r="A9" s="7">
        <v>2400</v>
      </c>
      <c r="B9">
        <v>1.5</v>
      </c>
      <c r="C9">
        <f t="shared" si="3"/>
        <v>6.8666666666666664E-5</v>
      </c>
      <c r="D9" s="1">
        <f t="shared" si="0"/>
        <v>1.2060975999999999</v>
      </c>
      <c r="E9">
        <v>1</v>
      </c>
      <c r="F9" s="1">
        <f t="shared" si="1"/>
        <v>25</v>
      </c>
      <c r="G9">
        <v>1</v>
      </c>
      <c r="H9" s="1">
        <f t="shared" si="2"/>
        <v>25</v>
      </c>
      <c r="I9">
        <v>0.12</v>
      </c>
    </row>
    <row r="10" spans="1:9" x14ac:dyDescent="0.3">
      <c r="A10" s="7">
        <v>3000</v>
      </c>
      <c r="B10">
        <v>1.5</v>
      </c>
      <c r="C10">
        <f t="shared" si="3"/>
        <v>6.8666666666666664E-5</v>
      </c>
      <c r="D10" s="1">
        <f t="shared" si="0"/>
        <v>1.2060975999999999</v>
      </c>
      <c r="E10">
        <v>1</v>
      </c>
      <c r="F10" s="1">
        <f t="shared" si="1"/>
        <v>25</v>
      </c>
      <c r="G10">
        <v>1</v>
      </c>
      <c r="H10" s="1">
        <f t="shared" si="2"/>
        <v>25</v>
      </c>
      <c r="I10">
        <v>0.12</v>
      </c>
    </row>
    <row r="11" spans="1:9" x14ac:dyDescent="0.3">
      <c r="A11" s="7">
        <v>3599</v>
      </c>
      <c r="B11">
        <v>1</v>
      </c>
      <c r="C11">
        <f t="shared" si="3"/>
        <v>4.5777777777777776E-5</v>
      </c>
      <c r="D11" s="1">
        <f t="shared" si="0"/>
        <v>1.2040650666666666</v>
      </c>
      <c r="E11">
        <v>1</v>
      </c>
      <c r="F11" s="1">
        <f t="shared" si="1"/>
        <v>25</v>
      </c>
      <c r="G11">
        <v>1</v>
      </c>
      <c r="H11" s="1">
        <f t="shared" si="2"/>
        <v>25</v>
      </c>
      <c r="I11">
        <v>0.12</v>
      </c>
    </row>
    <row r="12" spans="1:9" x14ac:dyDescent="0.3">
      <c r="F12" s="1"/>
    </row>
    <row r="13" spans="1:9" x14ac:dyDescent="0.3">
      <c r="A13" t="s">
        <v>4</v>
      </c>
      <c r="B13">
        <v>3600</v>
      </c>
      <c r="C13" t="s">
        <v>8</v>
      </c>
    </row>
    <row r="14" spans="1:9" x14ac:dyDescent="0.3">
      <c r="A14" s="2" t="s">
        <v>7</v>
      </c>
      <c r="B14" s="2">
        <v>90</v>
      </c>
      <c r="C14" s="2" t="s">
        <v>0</v>
      </c>
      <c r="D14" s="3" t="s">
        <v>11</v>
      </c>
      <c r="E14" s="3">
        <v>25</v>
      </c>
      <c r="F14" s="3" t="s">
        <v>0</v>
      </c>
      <c r="G14" s="4" t="s">
        <v>16</v>
      </c>
      <c r="H14" s="4">
        <v>25</v>
      </c>
      <c r="I14" s="4" t="s">
        <v>0</v>
      </c>
    </row>
    <row r="15" spans="1:9" x14ac:dyDescent="0.3">
      <c r="A15" s="2" t="s">
        <v>9</v>
      </c>
      <c r="B15" s="2">
        <v>0.1648</v>
      </c>
      <c r="C15" s="2" t="s">
        <v>8</v>
      </c>
      <c r="D15" s="3" t="s">
        <v>12</v>
      </c>
      <c r="E15" s="3">
        <v>25</v>
      </c>
      <c r="F15" s="3" t="s">
        <v>0</v>
      </c>
      <c r="G15" s="4" t="s">
        <v>19</v>
      </c>
      <c r="H15" s="4">
        <v>9</v>
      </c>
      <c r="I15" s="4" t="s">
        <v>0</v>
      </c>
    </row>
    <row r="16" spans="1:9" x14ac:dyDescent="0.3">
      <c r="A16" s="2" t="s">
        <v>19</v>
      </c>
      <c r="B16" s="2">
        <v>1.2</v>
      </c>
      <c r="C16" s="2" t="s">
        <v>0</v>
      </c>
      <c r="D16" s="3" t="s">
        <v>14</v>
      </c>
      <c r="E16" s="3">
        <v>32</v>
      </c>
      <c r="F16" s="3" t="s">
        <v>8</v>
      </c>
      <c r="G16" s="4" t="s">
        <v>24</v>
      </c>
      <c r="H16" s="5">
        <v>10</v>
      </c>
      <c r="I16" s="4" t="s">
        <v>8</v>
      </c>
    </row>
    <row r="17" spans="1:8" x14ac:dyDescent="0.3">
      <c r="D17" s="3" t="s">
        <v>13</v>
      </c>
      <c r="E17" s="3">
        <v>1E-3</v>
      </c>
      <c r="F17" s="3" t="s">
        <v>0</v>
      </c>
    </row>
    <row r="18" spans="1:8" x14ac:dyDescent="0.3">
      <c r="D18" s="3" t="s">
        <v>15</v>
      </c>
      <c r="E18" s="3">
        <v>10</v>
      </c>
      <c r="F18" s="3" t="s">
        <v>8</v>
      </c>
    </row>
    <row r="20" spans="1:8" x14ac:dyDescent="0.3">
      <c r="A20" t="s">
        <v>6</v>
      </c>
      <c r="B20" t="s">
        <v>31</v>
      </c>
      <c r="C20" t="s">
        <v>2</v>
      </c>
      <c r="D20" t="s">
        <v>1</v>
      </c>
      <c r="F20" s="6" t="s">
        <v>22</v>
      </c>
      <c r="G20" s="6">
        <v>2000</v>
      </c>
      <c r="H20" s="6" t="s">
        <v>23</v>
      </c>
    </row>
    <row r="21" spans="1:8" x14ac:dyDescent="0.3">
      <c r="A21" s="8">
        <v>30</v>
      </c>
      <c r="B21" s="9">
        <f t="shared" ref="B21:B30" si="4">D2+F2+H2</f>
        <v>51.687808000000004</v>
      </c>
      <c r="C21" s="9">
        <f>G$20/B21</f>
        <v>38.693844397502787</v>
      </c>
      <c r="D21" s="9">
        <f>C21/24</f>
        <v>1.6122435165626161</v>
      </c>
    </row>
    <row r="22" spans="1:8" x14ac:dyDescent="0.3">
      <c r="A22" s="8">
        <v>60</v>
      </c>
      <c r="B22" s="9">
        <f t="shared" si="4"/>
        <v>51.443904000000003</v>
      </c>
      <c r="C22" s="9">
        <f t="shared" ref="C22:C31" si="5">G$20/B22</f>
        <v>38.877298270364548</v>
      </c>
      <c r="D22" s="9">
        <f t="shared" ref="D22:D31" si="6">C22/24</f>
        <v>1.6198874279318562</v>
      </c>
    </row>
    <row r="23" spans="1:8" x14ac:dyDescent="0.3">
      <c r="A23" s="8">
        <v>180</v>
      </c>
      <c r="B23" s="9">
        <f t="shared" si="4"/>
        <v>51.281301333333332</v>
      </c>
      <c r="C23" s="9">
        <f t="shared" si="5"/>
        <v>39.000570344340716</v>
      </c>
      <c r="D23" s="9">
        <f t="shared" si="6"/>
        <v>1.6250237643475298</v>
      </c>
    </row>
    <row r="24" spans="1:8" x14ac:dyDescent="0.3">
      <c r="A24" s="8">
        <v>360</v>
      </c>
      <c r="B24" s="9">
        <f t="shared" si="4"/>
        <v>51.240650666666667</v>
      </c>
      <c r="C24" s="9">
        <f t="shared" si="5"/>
        <v>39.031510606891068</v>
      </c>
      <c r="D24" s="9">
        <f t="shared" si="6"/>
        <v>1.6263129419537945</v>
      </c>
    </row>
    <row r="25" spans="1:8" x14ac:dyDescent="0.3">
      <c r="A25" s="8">
        <v>600</v>
      </c>
      <c r="B25" s="9">
        <f t="shared" si="4"/>
        <v>51.224390400000004</v>
      </c>
      <c r="C25" s="9">
        <f t="shared" si="5"/>
        <v>39.043900461917453</v>
      </c>
      <c r="D25" s="9">
        <f t="shared" si="6"/>
        <v>1.6268291859132271</v>
      </c>
    </row>
    <row r="26" spans="1:8" x14ac:dyDescent="0.3">
      <c r="A26" s="8">
        <v>1200</v>
      </c>
      <c r="B26" s="9">
        <f t="shared" si="4"/>
        <v>51.212195199999996</v>
      </c>
      <c r="C26" s="9">
        <f t="shared" si="5"/>
        <v>39.053198016397474</v>
      </c>
      <c r="D26" s="9">
        <f t="shared" si="6"/>
        <v>1.6272165840165613</v>
      </c>
    </row>
    <row r="27" spans="1:8" x14ac:dyDescent="0.3">
      <c r="A27" s="8">
        <v>1800</v>
      </c>
      <c r="B27" s="9">
        <f t="shared" si="4"/>
        <v>51.208130133333334</v>
      </c>
      <c r="C27" s="9">
        <f t="shared" si="5"/>
        <v>39.056298185317324</v>
      </c>
      <c r="D27" s="9">
        <f t="shared" si="6"/>
        <v>1.6273457577215551</v>
      </c>
    </row>
    <row r="28" spans="1:8" x14ac:dyDescent="0.3">
      <c r="A28" s="8">
        <v>2400</v>
      </c>
      <c r="B28" s="9">
        <f t="shared" si="4"/>
        <v>51.2060976</v>
      </c>
      <c r="C28" s="9">
        <f t="shared" si="5"/>
        <v>39.057848454360638</v>
      </c>
      <c r="D28" s="9">
        <f t="shared" si="6"/>
        <v>1.6274103522650265</v>
      </c>
    </row>
    <row r="29" spans="1:8" x14ac:dyDescent="0.3">
      <c r="A29" s="8">
        <v>3000</v>
      </c>
      <c r="B29" s="9">
        <f t="shared" si="4"/>
        <v>51.2060976</v>
      </c>
      <c r="C29" s="9">
        <f t="shared" si="5"/>
        <v>39.057848454360638</v>
      </c>
      <c r="D29" s="9">
        <f t="shared" si="6"/>
        <v>1.6274103522650265</v>
      </c>
    </row>
    <row r="30" spans="1:8" x14ac:dyDescent="0.3">
      <c r="A30" s="8">
        <v>3599</v>
      </c>
      <c r="B30" s="9">
        <f t="shared" si="4"/>
        <v>51.204065066666665</v>
      </c>
      <c r="C30" s="9">
        <f t="shared" si="5"/>
        <v>39.059398846479084</v>
      </c>
      <c r="D30" s="9">
        <f t="shared" si="6"/>
        <v>1.6274749519366285</v>
      </c>
    </row>
    <row r="31" spans="1:8" x14ac:dyDescent="0.3">
      <c r="A31" t="s">
        <v>34</v>
      </c>
      <c r="B31" s="9">
        <f>AVERAGE(B21:B30)</f>
        <v>51.291464000000005</v>
      </c>
      <c r="C31" s="9">
        <f t="shared" si="5"/>
        <v>38.992842941663739</v>
      </c>
      <c r="D31" s="9">
        <f t="shared" si="6"/>
        <v>1.6247017892359892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D1C4-629D-4BEF-A26D-EA6EEEE863AC}">
  <dimension ref="A1:I44"/>
  <sheetViews>
    <sheetView tabSelected="1" zoomScale="67" zoomScaleNormal="85" workbookViewId="0">
      <selection activeCell="A7" sqref="A7"/>
    </sheetView>
  </sheetViews>
  <sheetFormatPr baseColWidth="10" defaultRowHeight="14.4" x14ac:dyDescent="0.3"/>
  <cols>
    <col min="1" max="2" width="13" bestFit="1" customWidth="1"/>
    <col min="3" max="3" width="15.21875" bestFit="1" customWidth="1"/>
    <col min="4" max="4" width="16.33203125" customWidth="1"/>
    <col min="5" max="5" width="13" bestFit="1" customWidth="1"/>
    <col min="6" max="6" width="14.109375" bestFit="1" customWidth="1"/>
  </cols>
  <sheetData>
    <row r="1" spans="1:9" x14ac:dyDescent="0.3">
      <c r="A1" t="s">
        <v>6</v>
      </c>
      <c r="B1" t="s">
        <v>38</v>
      </c>
      <c r="C1" t="s">
        <v>26</v>
      </c>
      <c r="D1" s="2" t="s">
        <v>5</v>
      </c>
      <c r="E1" t="s">
        <v>27</v>
      </c>
      <c r="F1" s="3" t="s">
        <v>28</v>
      </c>
      <c r="G1" t="s">
        <v>29</v>
      </c>
      <c r="H1" s="4" t="s">
        <v>18</v>
      </c>
      <c r="I1" t="s">
        <v>20</v>
      </c>
    </row>
    <row r="2" spans="1:9" x14ac:dyDescent="0.3">
      <c r="A2" s="7">
        <v>30</v>
      </c>
      <c r="B2">
        <v>120</v>
      </c>
      <c r="C2">
        <f>B2*B$15/B$13</f>
        <v>5.4933333333333336E-3</v>
      </c>
      <c r="D2" s="1">
        <f>$B$14*C2+$B$16*(1-C2)</f>
        <v>1.0911040000000001</v>
      </c>
      <c r="E2">
        <f>B2*E$18/B$13+B2*E$17/B$13</f>
        <v>0.33336666666666664</v>
      </c>
      <c r="F2" s="1">
        <f>E$15*E2+E$17*(1-E2)</f>
        <v>8.3348332999999997</v>
      </c>
      <c r="G2">
        <f>B2*(H$16/B$13)</f>
        <v>0.33333333333333337</v>
      </c>
      <c r="H2" s="1">
        <f>H$14*(G2)+H$15*(1-G2)</f>
        <v>14.333333333333334</v>
      </c>
      <c r="I2">
        <v>0.12</v>
      </c>
    </row>
    <row r="3" spans="1:9" x14ac:dyDescent="0.3">
      <c r="A3" s="7">
        <v>60</v>
      </c>
      <c r="B3">
        <v>60</v>
      </c>
      <c r="C3">
        <f t="shared" ref="C3:C11" si="0">B3*B$15/B$13</f>
        <v>2.7466666666666668E-3</v>
      </c>
      <c r="D3" s="1">
        <f t="shared" ref="D3:D11" si="1">$B$14*C3+$B$16*(1-C3)</f>
        <v>0.84555199999999997</v>
      </c>
      <c r="E3">
        <f t="shared" ref="E3:E10" si="2">B3*E$18/B$13+B3*E$17/B$13</f>
        <v>0.16668333333333332</v>
      </c>
      <c r="F3" s="1">
        <f t="shared" ref="F3:F11" si="3">E$15*E3+E$17*(1-E3)</f>
        <v>4.1679166499999996</v>
      </c>
      <c r="G3">
        <f>B3*(H$16/B$13)</f>
        <v>0.16666666666666669</v>
      </c>
      <c r="H3" s="1">
        <f t="shared" ref="H3:H10" si="4">H$14*(G3)+H$15*(1-G3)</f>
        <v>11.666666666666666</v>
      </c>
      <c r="I3">
        <v>0.12</v>
      </c>
    </row>
    <row r="4" spans="1:9" x14ac:dyDescent="0.3">
      <c r="A4" s="7">
        <v>180</v>
      </c>
      <c r="B4">
        <v>20</v>
      </c>
      <c r="C4">
        <f t="shared" si="0"/>
        <v>9.1555555555555563E-4</v>
      </c>
      <c r="D4" s="1">
        <f t="shared" si="1"/>
        <v>0.68185066666666672</v>
      </c>
      <c r="E4">
        <f t="shared" si="2"/>
        <v>5.556111111111111E-2</v>
      </c>
      <c r="F4" s="1">
        <f t="shared" si="3"/>
        <v>1.3899722166666666</v>
      </c>
      <c r="G4">
        <f t="shared" ref="G4:G10" si="5">B4*(H$16/B$13)</f>
        <v>5.5555555555555559E-2</v>
      </c>
      <c r="H4" s="1">
        <f t="shared" si="4"/>
        <v>9.8888888888888893</v>
      </c>
      <c r="I4">
        <v>0.12</v>
      </c>
    </row>
    <row r="5" spans="1:9" x14ac:dyDescent="0.3">
      <c r="A5" s="7">
        <v>360</v>
      </c>
      <c r="B5">
        <v>10</v>
      </c>
      <c r="C5">
        <f t="shared" si="0"/>
        <v>4.5777777777777782E-4</v>
      </c>
      <c r="D5" s="1">
        <f t="shared" si="1"/>
        <v>0.64092533333333335</v>
      </c>
      <c r="E5">
        <f>B5*E$18/B$13+B5*E$17/B$13</f>
        <v>2.7780555555555555E-2</v>
      </c>
      <c r="F5" s="1">
        <f t="shared" si="3"/>
        <v>0.69548610833333335</v>
      </c>
      <c r="G5">
        <f t="shared" si="5"/>
        <v>2.777777777777778E-2</v>
      </c>
      <c r="H5" s="1">
        <f t="shared" si="4"/>
        <v>9.4444444444444446</v>
      </c>
      <c r="I5">
        <v>0.12</v>
      </c>
    </row>
    <row r="6" spans="1:9" x14ac:dyDescent="0.3">
      <c r="A6" s="7">
        <v>600</v>
      </c>
      <c r="B6">
        <v>6</v>
      </c>
      <c r="C6">
        <f>B6*B$15/B$13</f>
        <v>2.7466666666666666E-4</v>
      </c>
      <c r="D6" s="1">
        <f t="shared" si="1"/>
        <v>0.62455519999999998</v>
      </c>
      <c r="E6">
        <f>B6*E$18/B$13+B6*E$17/B$13</f>
        <v>1.6668333333333334E-2</v>
      </c>
      <c r="F6" s="1">
        <f t="shared" si="3"/>
        <v>0.41769166499999999</v>
      </c>
      <c r="G6">
        <f t="shared" si="5"/>
        <v>1.6666666666666666E-2</v>
      </c>
      <c r="H6" s="1">
        <f t="shared" si="4"/>
        <v>9.2666666666666657</v>
      </c>
      <c r="I6">
        <v>0.12</v>
      </c>
    </row>
    <row r="7" spans="1:9" x14ac:dyDescent="0.3">
      <c r="A7" s="7">
        <v>1200</v>
      </c>
      <c r="B7">
        <v>3</v>
      </c>
      <c r="C7">
        <f t="shared" si="0"/>
        <v>1.3733333333333333E-4</v>
      </c>
      <c r="D7" s="1">
        <f t="shared" si="1"/>
        <v>0.61227759999999998</v>
      </c>
      <c r="E7">
        <f t="shared" si="2"/>
        <v>8.3341666666666668E-3</v>
      </c>
      <c r="F7" s="1">
        <f t="shared" si="3"/>
        <v>0.2093458325</v>
      </c>
      <c r="G7">
        <f t="shared" si="5"/>
        <v>8.3333333333333332E-3</v>
      </c>
      <c r="H7" s="1">
        <f t="shared" si="4"/>
        <v>9.1333333333333346</v>
      </c>
      <c r="I7">
        <v>0.12</v>
      </c>
    </row>
    <row r="8" spans="1:9" x14ac:dyDescent="0.3">
      <c r="A8" s="7">
        <v>1800</v>
      </c>
      <c r="B8">
        <v>2</v>
      </c>
      <c r="C8">
        <f t="shared" si="0"/>
        <v>9.1555555555555552E-5</v>
      </c>
      <c r="D8" s="1">
        <f t="shared" si="1"/>
        <v>0.60818506666666672</v>
      </c>
      <c r="E8">
        <f t="shared" si="2"/>
        <v>5.5561111111111115E-3</v>
      </c>
      <c r="F8" s="1">
        <f t="shared" si="3"/>
        <v>0.13989722166666668</v>
      </c>
      <c r="G8">
        <f>B8*(H$16/B$13)</f>
        <v>5.5555555555555558E-3</v>
      </c>
      <c r="H8" s="1">
        <f t="shared" si="4"/>
        <v>9.0888888888888886</v>
      </c>
      <c r="I8">
        <v>0.12</v>
      </c>
    </row>
    <row r="9" spans="1:9" x14ac:dyDescent="0.3">
      <c r="A9" s="7">
        <v>2400</v>
      </c>
      <c r="B9">
        <v>1.5</v>
      </c>
      <c r="C9">
        <f t="shared" si="0"/>
        <v>6.8666666666666664E-5</v>
      </c>
      <c r="D9" s="1">
        <f t="shared" si="1"/>
        <v>0.60613879999999987</v>
      </c>
      <c r="E9">
        <f t="shared" si="2"/>
        <v>4.1670833333333334E-3</v>
      </c>
      <c r="F9" s="1">
        <f t="shared" si="3"/>
        <v>0.10517291625</v>
      </c>
      <c r="G9">
        <f t="shared" si="5"/>
        <v>4.1666666666666666E-3</v>
      </c>
      <c r="H9" s="1">
        <f t="shared" si="4"/>
        <v>9.0666666666666664</v>
      </c>
      <c r="I9">
        <v>0.12</v>
      </c>
    </row>
    <row r="10" spans="1:9" x14ac:dyDescent="0.3">
      <c r="A10" s="7">
        <v>3000</v>
      </c>
      <c r="B10">
        <v>1.5</v>
      </c>
      <c r="C10">
        <f t="shared" si="0"/>
        <v>6.8666666666666664E-5</v>
      </c>
      <c r="D10" s="1">
        <f t="shared" si="1"/>
        <v>0.60613879999999987</v>
      </c>
      <c r="E10">
        <f t="shared" si="2"/>
        <v>4.1670833333333334E-3</v>
      </c>
      <c r="F10" s="1">
        <f t="shared" si="3"/>
        <v>0.10517291625</v>
      </c>
      <c r="G10">
        <f t="shared" si="5"/>
        <v>4.1666666666666666E-3</v>
      </c>
      <c r="H10" s="1">
        <f t="shared" si="4"/>
        <v>9.0666666666666664</v>
      </c>
      <c r="I10">
        <v>0.12</v>
      </c>
    </row>
    <row r="11" spans="1:9" x14ac:dyDescent="0.3">
      <c r="A11" s="7">
        <v>3599</v>
      </c>
      <c r="B11">
        <v>1</v>
      </c>
      <c r="C11">
        <f t="shared" si="0"/>
        <v>4.5777777777777776E-5</v>
      </c>
      <c r="D11" s="1">
        <f t="shared" si="1"/>
        <v>0.60409253333333335</v>
      </c>
      <c r="E11">
        <f>B11*E$18/B$13+B11*E$17/B$13</f>
        <v>2.7780555555555557E-3</v>
      </c>
      <c r="F11" s="1">
        <f t="shared" si="3"/>
        <v>7.0448610833333342E-2</v>
      </c>
      <c r="G11">
        <f>B11*(H$16/B$13)</f>
        <v>2.7777777777777779E-3</v>
      </c>
      <c r="H11" s="1">
        <f>H$14*(G11)+H$15*(1-G11)</f>
        <v>9.0444444444444443</v>
      </c>
      <c r="I11">
        <v>0.12</v>
      </c>
    </row>
    <row r="12" spans="1:9" x14ac:dyDescent="0.3">
      <c r="F12" s="1"/>
    </row>
    <row r="13" spans="1:9" x14ac:dyDescent="0.3">
      <c r="A13" t="s">
        <v>4</v>
      </c>
      <c r="B13">
        <v>3600</v>
      </c>
      <c r="C13" t="s">
        <v>8</v>
      </c>
    </row>
    <row r="14" spans="1:9" x14ac:dyDescent="0.3">
      <c r="A14" s="2" t="s">
        <v>7</v>
      </c>
      <c r="B14" s="2">
        <v>90</v>
      </c>
      <c r="C14" s="2" t="s">
        <v>0</v>
      </c>
      <c r="D14" s="3" t="s">
        <v>11</v>
      </c>
      <c r="E14" s="3">
        <v>25</v>
      </c>
      <c r="F14" s="3" t="s">
        <v>0</v>
      </c>
      <c r="G14" s="4" t="s">
        <v>16</v>
      </c>
      <c r="H14" s="4">
        <v>25</v>
      </c>
      <c r="I14" s="4" t="s">
        <v>0</v>
      </c>
    </row>
    <row r="15" spans="1:9" x14ac:dyDescent="0.3">
      <c r="A15" s="2" t="s">
        <v>9</v>
      </c>
      <c r="B15" s="2">
        <v>0.1648</v>
      </c>
      <c r="C15" s="2" t="s">
        <v>8</v>
      </c>
      <c r="D15" s="3" t="s">
        <v>12</v>
      </c>
      <c r="E15" s="3">
        <v>25</v>
      </c>
      <c r="F15" s="3" t="s">
        <v>0</v>
      </c>
      <c r="G15" s="4" t="s">
        <v>19</v>
      </c>
      <c r="H15" s="4">
        <v>9</v>
      </c>
      <c r="I15" s="4" t="s">
        <v>0</v>
      </c>
    </row>
    <row r="16" spans="1:9" x14ac:dyDescent="0.3">
      <c r="A16" s="2" t="s">
        <v>10</v>
      </c>
      <c r="B16" s="2">
        <v>0.6</v>
      </c>
      <c r="C16" s="2" t="s">
        <v>0</v>
      </c>
      <c r="D16" s="3" t="s">
        <v>14</v>
      </c>
      <c r="E16" s="3">
        <v>32</v>
      </c>
      <c r="F16" s="3" t="s">
        <v>8</v>
      </c>
      <c r="G16" s="4" t="s">
        <v>24</v>
      </c>
      <c r="H16" s="5">
        <v>10</v>
      </c>
      <c r="I16" s="4" t="s">
        <v>8</v>
      </c>
    </row>
    <row r="17" spans="1:8" x14ac:dyDescent="0.3">
      <c r="D17" s="3" t="s">
        <v>13</v>
      </c>
      <c r="E17" s="3">
        <v>1E-3</v>
      </c>
      <c r="F17" s="3" t="s">
        <v>0</v>
      </c>
    </row>
    <row r="18" spans="1:8" x14ac:dyDescent="0.3">
      <c r="D18" s="3" t="s">
        <v>15</v>
      </c>
      <c r="E18" s="3">
        <v>10</v>
      </c>
      <c r="F18" s="3" t="s">
        <v>8</v>
      </c>
    </row>
    <row r="20" spans="1:8" x14ac:dyDescent="0.3">
      <c r="A20" t="s">
        <v>6</v>
      </c>
      <c r="B20" t="s">
        <v>21</v>
      </c>
      <c r="C20" t="s">
        <v>36</v>
      </c>
      <c r="D20" t="s">
        <v>39</v>
      </c>
      <c r="F20" s="6" t="s">
        <v>22</v>
      </c>
      <c r="G20" s="6">
        <v>2000</v>
      </c>
      <c r="H20" s="6" t="s">
        <v>23</v>
      </c>
    </row>
    <row r="21" spans="1:8" x14ac:dyDescent="0.3">
      <c r="A21" s="7">
        <v>30</v>
      </c>
      <c r="B21" s="1">
        <f t="shared" ref="B21:B30" si="6">D2+F2+H2</f>
        <v>23.759270633333333</v>
      </c>
      <c r="C21" s="1">
        <f>G$20/B21</f>
        <v>84.17766819803289</v>
      </c>
      <c r="D21" s="1">
        <f>C21/24</f>
        <v>3.5074028415847036</v>
      </c>
    </row>
    <row r="22" spans="1:8" x14ac:dyDescent="0.3">
      <c r="A22" s="7">
        <v>60</v>
      </c>
      <c r="B22" s="1">
        <f t="shared" si="6"/>
        <v>16.680135316666664</v>
      </c>
      <c r="C22" s="1">
        <f t="shared" ref="C22:C30" si="7">G$20/B22</f>
        <v>119.90310402347967</v>
      </c>
      <c r="D22" s="1">
        <f t="shared" ref="D22:D30" si="8">C22/24</f>
        <v>4.995962667644986</v>
      </c>
    </row>
    <row r="23" spans="1:8" x14ac:dyDescent="0.3">
      <c r="A23" s="7">
        <v>180</v>
      </c>
      <c r="B23" s="1">
        <f t="shared" si="6"/>
        <v>11.960711772222222</v>
      </c>
      <c r="C23" s="1">
        <f t="shared" si="7"/>
        <v>167.21412889865275</v>
      </c>
      <c r="D23" s="1">
        <f t="shared" si="8"/>
        <v>6.967255370777198</v>
      </c>
    </row>
    <row r="24" spans="1:8" x14ac:dyDescent="0.3">
      <c r="A24" s="7">
        <v>360</v>
      </c>
      <c r="B24" s="1">
        <f t="shared" si="6"/>
        <v>10.780855886111112</v>
      </c>
      <c r="C24" s="1">
        <f t="shared" si="7"/>
        <v>185.51402793321665</v>
      </c>
      <c r="D24" s="1">
        <f t="shared" si="8"/>
        <v>7.7297511638840275</v>
      </c>
    </row>
    <row r="25" spans="1:8" x14ac:dyDescent="0.3">
      <c r="A25" s="7">
        <v>600</v>
      </c>
      <c r="B25" s="1">
        <f t="shared" si="6"/>
        <v>10.308913531666665</v>
      </c>
      <c r="C25" s="1">
        <f t="shared" si="7"/>
        <v>194.0068654040457</v>
      </c>
      <c r="D25" s="1">
        <f t="shared" si="8"/>
        <v>8.0836193918352368</v>
      </c>
    </row>
    <row r="26" spans="1:8" x14ac:dyDescent="0.3">
      <c r="A26" s="7">
        <v>1200</v>
      </c>
      <c r="B26" s="1">
        <f t="shared" si="6"/>
        <v>9.9549567658333338</v>
      </c>
      <c r="C26" s="1">
        <f t="shared" si="7"/>
        <v>200.90494082950235</v>
      </c>
      <c r="D26" s="1">
        <f t="shared" si="8"/>
        <v>8.371039201229264</v>
      </c>
    </row>
    <row r="27" spans="1:8" x14ac:dyDescent="0.3">
      <c r="A27" s="7">
        <v>1800</v>
      </c>
      <c r="B27" s="1">
        <f t="shared" si="6"/>
        <v>9.836971177222221</v>
      </c>
      <c r="C27" s="1">
        <f t="shared" si="7"/>
        <v>203.31461422099673</v>
      </c>
      <c r="D27" s="1">
        <f t="shared" si="8"/>
        <v>8.4714422592081977</v>
      </c>
    </row>
    <row r="28" spans="1:8" x14ac:dyDescent="0.3">
      <c r="A28" s="7">
        <v>2400</v>
      </c>
      <c r="B28" s="1">
        <f t="shared" si="6"/>
        <v>9.7779783829166664</v>
      </c>
      <c r="C28" s="1">
        <f t="shared" si="7"/>
        <v>204.54125808809789</v>
      </c>
      <c r="D28" s="1">
        <f t="shared" si="8"/>
        <v>8.5225524203374121</v>
      </c>
    </row>
    <row r="29" spans="1:8" x14ac:dyDescent="0.3">
      <c r="A29" s="7">
        <v>3000</v>
      </c>
      <c r="B29" s="1">
        <f t="shared" si="6"/>
        <v>9.7779783829166664</v>
      </c>
      <c r="C29" s="1">
        <f t="shared" si="7"/>
        <v>204.54125808809789</v>
      </c>
      <c r="D29" s="1">
        <f t="shared" si="8"/>
        <v>8.5225524203374121</v>
      </c>
    </row>
    <row r="30" spans="1:8" x14ac:dyDescent="0.3">
      <c r="A30" s="7">
        <v>3599</v>
      </c>
      <c r="B30" s="1">
        <f t="shared" si="6"/>
        <v>9.7189855886111118</v>
      </c>
      <c r="C30" s="1">
        <f t="shared" si="7"/>
        <v>205.78279304618346</v>
      </c>
      <c r="D30" s="1">
        <f t="shared" si="8"/>
        <v>8.5742830435909774</v>
      </c>
    </row>
    <row r="33" spans="1:4" x14ac:dyDescent="0.3">
      <c r="A33" s="10" t="s">
        <v>6</v>
      </c>
      <c r="B33" s="10" t="s">
        <v>31</v>
      </c>
      <c r="C33" s="10" t="s">
        <v>2</v>
      </c>
      <c r="D33" s="10" t="s">
        <v>1</v>
      </c>
    </row>
    <row r="34" spans="1:4" x14ac:dyDescent="0.3">
      <c r="A34" s="8">
        <v>30</v>
      </c>
      <c r="B34" s="9">
        <v>51.687808000000004</v>
      </c>
      <c r="C34" s="9">
        <v>38.693844397502787</v>
      </c>
      <c r="D34" s="9">
        <v>1.6122435165626161</v>
      </c>
    </row>
    <row r="35" spans="1:4" x14ac:dyDescent="0.3">
      <c r="A35" s="8">
        <v>60</v>
      </c>
      <c r="B35" s="9">
        <v>51.443904000000003</v>
      </c>
      <c r="C35" s="9">
        <v>38.877298270364548</v>
      </c>
      <c r="D35" s="9">
        <v>1.6198874279318562</v>
      </c>
    </row>
    <row r="36" spans="1:4" x14ac:dyDescent="0.3">
      <c r="A36" s="8">
        <v>180</v>
      </c>
      <c r="B36" s="9">
        <v>51.281301333333332</v>
      </c>
      <c r="C36" s="9">
        <v>39.000570344340716</v>
      </c>
      <c r="D36" s="9">
        <v>1.6250237643475298</v>
      </c>
    </row>
    <row r="37" spans="1:4" x14ac:dyDescent="0.3">
      <c r="A37" s="8">
        <v>360</v>
      </c>
      <c r="B37" s="9">
        <v>51.240650666666667</v>
      </c>
      <c r="C37" s="9">
        <v>39.031510606891068</v>
      </c>
      <c r="D37" s="9">
        <v>1.6263129419537945</v>
      </c>
    </row>
    <row r="38" spans="1:4" x14ac:dyDescent="0.3">
      <c r="A38" s="8">
        <v>600</v>
      </c>
      <c r="B38" s="9">
        <v>51.224390400000004</v>
      </c>
      <c r="C38" s="9">
        <v>39.043900461917453</v>
      </c>
      <c r="D38" s="9">
        <v>1.6268291859132271</v>
      </c>
    </row>
    <row r="39" spans="1:4" x14ac:dyDescent="0.3">
      <c r="A39" s="8">
        <v>1200</v>
      </c>
      <c r="B39" s="9">
        <v>51.212195199999996</v>
      </c>
      <c r="C39" s="9">
        <v>39.053198016397474</v>
      </c>
      <c r="D39" s="9">
        <v>1.6272165840165613</v>
      </c>
    </row>
    <row r="40" spans="1:4" x14ac:dyDescent="0.3">
      <c r="A40" s="8">
        <v>1800</v>
      </c>
      <c r="B40" s="9">
        <v>51.208130133333334</v>
      </c>
      <c r="C40" s="9">
        <v>39.056298185317324</v>
      </c>
      <c r="D40" s="9">
        <v>1.6273457577215551</v>
      </c>
    </row>
    <row r="41" spans="1:4" x14ac:dyDescent="0.3">
      <c r="A41" s="8">
        <v>2400</v>
      </c>
      <c r="B41" s="9">
        <v>51.2060976</v>
      </c>
      <c r="C41" s="9">
        <v>39.057848454360638</v>
      </c>
      <c r="D41" s="9">
        <v>1.6274103522650265</v>
      </c>
    </row>
    <row r="42" spans="1:4" x14ac:dyDescent="0.3">
      <c r="A42" s="8">
        <v>3000</v>
      </c>
      <c r="B42" s="9">
        <v>51.2060976</v>
      </c>
      <c r="C42" s="9">
        <v>39.057848454360638</v>
      </c>
      <c r="D42" s="9">
        <v>1.6274103522650265</v>
      </c>
    </row>
    <row r="43" spans="1:4" x14ac:dyDescent="0.3">
      <c r="A43" s="8">
        <v>3599</v>
      </c>
      <c r="B43" s="9">
        <v>51.204065066666665</v>
      </c>
      <c r="C43" s="9">
        <v>39.059398846479084</v>
      </c>
      <c r="D43" s="9">
        <v>1.6274749519366285</v>
      </c>
    </row>
    <row r="44" spans="1:4" x14ac:dyDescent="0.3">
      <c r="A44" s="1"/>
      <c r="B44" s="1"/>
      <c r="C4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A668-74F6-458C-B441-1856DB68F1F1}">
  <dimension ref="A1:I31"/>
  <sheetViews>
    <sheetView topLeftCell="E1" zoomScale="70" zoomScaleNormal="70" workbookViewId="0">
      <selection activeCell="F20" sqref="F20:H28"/>
    </sheetView>
  </sheetViews>
  <sheetFormatPr baseColWidth="10" defaultRowHeight="14.4" x14ac:dyDescent="0.3"/>
  <cols>
    <col min="1" max="1" width="11.6640625" bestFit="1" customWidth="1"/>
    <col min="2" max="2" width="13" bestFit="1" customWidth="1"/>
    <col min="3" max="3" width="13.109375" bestFit="1" customWidth="1"/>
    <col min="4" max="4" width="15.21875" bestFit="1" customWidth="1"/>
    <col min="5" max="5" width="13.44140625" customWidth="1"/>
    <col min="6" max="6" width="13.5546875" bestFit="1" customWidth="1"/>
    <col min="7" max="7" width="17.21875" bestFit="1" customWidth="1"/>
    <col min="8" max="8" width="16.88671875" bestFit="1" customWidth="1"/>
    <col min="9" max="9" width="17.44140625" bestFit="1" customWidth="1"/>
  </cols>
  <sheetData>
    <row r="1" spans="1:9" x14ac:dyDescent="0.3">
      <c r="A1" t="s">
        <v>6</v>
      </c>
      <c r="B1" t="s">
        <v>37</v>
      </c>
      <c r="C1" t="s">
        <v>29</v>
      </c>
      <c r="D1" s="4" t="s">
        <v>18</v>
      </c>
      <c r="E1" s="2" t="s">
        <v>5</v>
      </c>
      <c r="F1" s="20" t="s">
        <v>30</v>
      </c>
      <c r="G1" s="3" t="s">
        <v>40</v>
      </c>
    </row>
    <row r="2" spans="1:9" x14ac:dyDescent="0.3">
      <c r="A2" s="7">
        <v>30</v>
      </c>
      <c r="B2" s="19">
        <f t="shared" ref="B2:B11" si="0">$B$14/$A2</f>
        <v>120</v>
      </c>
      <c r="C2" s="18">
        <f>B2*10/B$14</f>
        <v>0.33333333333333331</v>
      </c>
      <c r="D2" s="1">
        <f>E$15*(C2)+E$16*(1-C2)</f>
        <v>72</v>
      </c>
      <c r="E2" s="19">
        <f t="shared" ref="E2:E11" si="1">$B$15</f>
        <v>4.5999999999999996</v>
      </c>
      <c r="F2">
        <v>0.17</v>
      </c>
      <c r="G2">
        <f>H$16</f>
        <v>25</v>
      </c>
    </row>
    <row r="3" spans="1:9" x14ac:dyDescent="0.3">
      <c r="A3" s="7">
        <v>60</v>
      </c>
      <c r="B3" s="19">
        <f t="shared" si="0"/>
        <v>60</v>
      </c>
      <c r="C3" s="18">
        <f t="shared" ref="C3:C11" si="2">B3*10/B$14</f>
        <v>0.16666666666666666</v>
      </c>
      <c r="D3" s="1">
        <f t="shared" ref="D3:D11" si="3">E$15*(C3)+E$16*(1-C3)</f>
        <v>72</v>
      </c>
      <c r="E3" s="19">
        <f t="shared" si="1"/>
        <v>4.5999999999999996</v>
      </c>
      <c r="F3">
        <v>0.17</v>
      </c>
      <c r="G3">
        <f t="shared" ref="G3:G12" si="4">H$16</f>
        <v>25</v>
      </c>
    </row>
    <row r="4" spans="1:9" x14ac:dyDescent="0.3">
      <c r="A4" s="7">
        <v>180</v>
      </c>
      <c r="B4" s="19">
        <f t="shared" si="0"/>
        <v>20</v>
      </c>
      <c r="C4" s="18">
        <f t="shared" si="2"/>
        <v>5.5555555555555552E-2</v>
      </c>
      <c r="D4" s="1">
        <f t="shared" si="3"/>
        <v>72</v>
      </c>
      <c r="E4" s="19">
        <f t="shared" si="1"/>
        <v>4.5999999999999996</v>
      </c>
      <c r="F4">
        <v>0.17</v>
      </c>
      <c r="G4">
        <f t="shared" si="4"/>
        <v>25</v>
      </c>
    </row>
    <row r="5" spans="1:9" x14ac:dyDescent="0.3">
      <c r="A5" s="7">
        <v>360</v>
      </c>
      <c r="B5" s="19">
        <f t="shared" si="0"/>
        <v>10</v>
      </c>
      <c r="C5" s="18">
        <f t="shared" si="2"/>
        <v>2.7777777777777776E-2</v>
      </c>
      <c r="D5" s="1">
        <f t="shared" si="3"/>
        <v>72</v>
      </c>
      <c r="E5" s="19">
        <f t="shared" si="1"/>
        <v>4.5999999999999996</v>
      </c>
      <c r="F5">
        <v>0.17</v>
      </c>
      <c r="G5">
        <f t="shared" si="4"/>
        <v>25</v>
      </c>
    </row>
    <row r="6" spans="1:9" x14ac:dyDescent="0.3">
      <c r="A6" s="7">
        <v>600</v>
      </c>
      <c r="B6" s="19">
        <f t="shared" si="0"/>
        <v>6</v>
      </c>
      <c r="C6" s="18">
        <f t="shared" si="2"/>
        <v>1.6666666666666666E-2</v>
      </c>
      <c r="D6" s="1">
        <f t="shared" si="3"/>
        <v>72</v>
      </c>
      <c r="E6" s="19">
        <f t="shared" si="1"/>
        <v>4.5999999999999996</v>
      </c>
      <c r="F6">
        <v>0.17</v>
      </c>
      <c r="G6">
        <f t="shared" si="4"/>
        <v>25</v>
      </c>
    </row>
    <row r="7" spans="1:9" x14ac:dyDescent="0.3">
      <c r="A7" s="7">
        <v>1200</v>
      </c>
      <c r="B7" s="19">
        <f t="shared" si="0"/>
        <v>3</v>
      </c>
      <c r="C7" s="18">
        <f t="shared" si="2"/>
        <v>8.3333333333333332E-3</v>
      </c>
      <c r="D7" s="1">
        <f t="shared" si="3"/>
        <v>72</v>
      </c>
      <c r="E7" s="19">
        <f t="shared" si="1"/>
        <v>4.5999999999999996</v>
      </c>
      <c r="F7">
        <v>0.17</v>
      </c>
      <c r="G7">
        <f t="shared" si="4"/>
        <v>25</v>
      </c>
    </row>
    <row r="8" spans="1:9" x14ac:dyDescent="0.3">
      <c r="A8" s="7">
        <v>1800</v>
      </c>
      <c r="B8" s="19">
        <f t="shared" si="0"/>
        <v>2</v>
      </c>
      <c r="C8" s="18">
        <f t="shared" si="2"/>
        <v>5.5555555555555558E-3</v>
      </c>
      <c r="D8" s="1">
        <f t="shared" si="3"/>
        <v>72</v>
      </c>
      <c r="E8" s="19">
        <f t="shared" si="1"/>
        <v>4.5999999999999996</v>
      </c>
      <c r="F8">
        <v>0.17</v>
      </c>
      <c r="G8">
        <f t="shared" si="4"/>
        <v>25</v>
      </c>
    </row>
    <row r="9" spans="1:9" x14ac:dyDescent="0.3">
      <c r="A9" s="7">
        <v>2400</v>
      </c>
      <c r="B9" s="19">
        <f t="shared" si="0"/>
        <v>1.5</v>
      </c>
      <c r="C9" s="18">
        <f t="shared" si="2"/>
        <v>4.1666666666666666E-3</v>
      </c>
      <c r="D9" s="1">
        <f t="shared" si="3"/>
        <v>72</v>
      </c>
      <c r="E9" s="19">
        <f t="shared" si="1"/>
        <v>4.5999999999999996</v>
      </c>
      <c r="F9">
        <v>0.17</v>
      </c>
      <c r="G9">
        <f t="shared" si="4"/>
        <v>25</v>
      </c>
    </row>
    <row r="10" spans="1:9" x14ac:dyDescent="0.3">
      <c r="A10" s="7">
        <v>3000</v>
      </c>
      <c r="B10" s="19">
        <f t="shared" si="0"/>
        <v>1.2</v>
      </c>
      <c r="C10" s="18">
        <f t="shared" si="2"/>
        <v>3.3333333333333335E-3</v>
      </c>
      <c r="D10" s="1">
        <f t="shared" si="3"/>
        <v>72</v>
      </c>
      <c r="E10" s="19">
        <f t="shared" si="1"/>
        <v>4.5999999999999996</v>
      </c>
      <c r="F10">
        <v>0.17</v>
      </c>
      <c r="G10">
        <f t="shared" si="4"/>
        <v>25</v>
      </c>
    </row>
    <row r="11" spans="1:9" x14ac:dyDescent="0.3">
      <c r="A11" s="7">
        <v>3599</v>
      </c>
      <c r="B11" s="19">
        <f t="shared" si="0"/>
        <v>1.0002778549597111</v>
      </c>
      <c r="C11" s="18">
        <f t="shared" si="2"/>
        <v>2.7785495971103082E-3</v>
      </c>
      <c r="D11" s="1">
        <f t="shared" si="3"/>
        <v>71.999999999999986</v>
      </c>
      <c r="E11" s="19">
        <f t="shared" si="1"/>
        <v>4.5999999999999996</v>
      </c>
      <c r="F11">
        <v>0.17</v>
      </c>
      <c r="G11">
        <f t="shared" si="4"/>
        <v>25</v>
      </c>
    </row>
    <row r="12" spans="1:9" x14ac:dyDescent="0.3">
      <c r="A12" t="s">
        <v>34</v>
      </c>
      <c r="B12" s="19"/>
      <c r="C12" s="18">
        <f>AVERAGE(C2:C11)</f>
        <v>6.2416743848599923E-2</v>
      </c>
      <c r="D12" s="1">
        <f>AVERAGE(D2:D11)</f>
        <v>72</v>
      </c>
      <c r="E12">
        <f>AVERAGE(E2:E11)</f>
        <v>4.6000000000000005</v>
      </c>
      <c r="F12">
        <f>AVERAGE(F2:F11)</f>
        <v>0.16999999999999998</v>
      </c>
      <c r="G12">
        <f t="shared" si="4"/>
        <v>25</v>
      </c>
    </row>
    <row r="14" spans="1:9" x14ac:dyDescent="0.3">
      <c r="A14" t="s">
        <v>4</v>
      </c>
      <c r="B14">
        <v>3600</v>
      </c>
      <c r="C14" t="s">
        <v>8</v>
      </c>
    </row>
    <row r="15" spans="1:9" x14ac:dyDescent="0.3">
      <c r="A15" s="2" t="s">
        <v>3</v>
      </c>
      <c r="B15" s="2">
        <v>4.5999999999999996</v>
      </c>
      <c r="C15" s="2" t="s">
        <v>0</v>
      </c>
      <c r="D15" s="4" t="s">
        <v>16</v>
      </c>
      <c r="E15" s="4">
        <v>72</v>
      </c>
      <c r="F15" s="4" t="s">
        <v>0</v>
      </c>
      <c r="G15" s="6" t="s">
        <v>22</v>
      </c>
      <c r="H15" s="6">
        <v>2000</v>
      </c>
      <c r="I15" s="6" t="s">
        <v>23</v>
      </c>
    </row>
    <row r="16" spans="1:9" x14ac:dyDescent="0.3">
      <c r="A16" s="2" t="s">
        <v>9</v>
      </c>
      <c r="B16" s="2">
        <v>0.1648</v>
      </c>
      <c r="C16" s="2" t="s">
        <v>8</v>
      </c>
      <c r="D16" s="4" t="s">
        <v>19</v>
      </c>
      <c r="E16" s="4">
        <v>72</v>
      </c>
      <c r="F16" s="4" t="s">
        <v>0</v>
      </c>
      <c r="G16" s="3" t="s">
        <v>42</v>
      </c>
      <c r="H16" s="3">
        <v>25</v>
      </c>
      <c r="I16" s="3" t="s">
        <v>0</v>
      </c>
    </row>
    <row r="17" spans="1:8" x14ac:dyDescent="0.3">
      <c r="A17" s="2"/>
      <c r="B17" s="2"/>
      <c r="C17" s="2"/>
      <c r="D17" s="4" t="s">
        <v>17</v>
      </c>
      <c r="E17" s="5">
        <v>5</v>
      </c>
      <c r="F17" s="4" t="s">
        <v>8</v>
      </c>
      <c r="G17" t="s">
        <v>32</v>
      </c>
    </row>
    <row r="20" spans="1:8" x14ac:dyDescent="0.3">
      <c r="A20" t="s">
        <v>6</v>
      </c>
      <c r="B20" t="s">
        <v>21</v>
      </c>
      <c r="C20" t="s">
        <v>2</v>
      </c>
      <c r="D20" t="s">
        <v>1</v>
      </c>
      <c r="F20" t="s">
        <v>35</v>
      </c>
      <c r="G20" t="s">
        <v>33</v>
      </c>
      <c r="H20" t="s">
        <v>1</v>
      </c>
    </row>
    <row r="21" spans="1:8" x14ac:dyDescent="0.3">
      <c r="A21" s="7">
        <v>30</v>
      </c>
      <c r="B21" s="1">
        <f t="shared" ref="B21:B30" si="5">D2+E2+F2+G2</f>
        <v>101.77</v>
      </c>
      <c r="C21" s="1">
        <f t="shared" ref="C21:C31" si="6">$H$15/B21</f>
        <v>19.65215682421146</v>
      </c>
      <c r="D21" s="1">
        <f>C21/24</f>
        <v>0.81883986767547745</v>
      </c>
      <c r="F21">
        <v>500</v>
      </c>
      <c r="G21" s="1">
        <f>F21/$B$31</f>
        <v>4.9130392060528649</v>
      </c>
      <c r="H21" s="1">
        <f t="shared" ref="H21:H28" si="7">$G21/24</f>
        <v>0.20470996691886936</v>
      </c>
    </row>
    <row r="22" spans="1:8" x14ac:dyDescent="0.3">
      <c r="A22" s="7">
        <v>60</v>
      </c>
      <c r="B22" s="1">
        <f t="shared" si="5"/>
        <v>101.77</v>
      </c>
      <c r="C22" s="1">
        <f t="shared" si="6"/>
        <v>19.65215682421146</v>
      </c>
      <c r="D22" s="1">
        <f t="shared" ref="D22:D31" si="8">C22/24</f>
        <v>0.81883986767547745</v>
      </c>
      <c r="F22">
        <v>700</v>
      </c>
      <c r="G22" s="1">
        <f t="shared" ref="G22:G28" si="9">F22/$B$31</f>
        <v>6.87825488847401</v>
      </c>
      <c r="H22" s="1">
        <f t="shared" si="7"/>
        <v>0.2865939536864171</v>
      </c>
    </row>
    <row r="23" spans="1:8" x14ac:dyDescent="0.3">
      <c r="A23">
        <v>180</v>
      </c>
      <c r="B23" s="1">
        <f t="shared" si="5"/>
        <v>101.77</v>
      </c>
      <c r="C23" s="1">
        <f t="shared" si="6"/>
        <v>19.65215682421146</v>
      </c>
      <c r="D23" s="1">
        <f t="shared" si="8"/>
        <v>0.81883986767547745</v>
      </c>
      <c r="F23">
        <v>900</v>
      </c>
      <c r="G23" s="1">
        <f t="shared" si="9"/>
        <v>8.8434705708951569</v>
      </c>
      <c r="H23" s="1">
        <f t="shared" si="7"/>
        <v>0.36847794045396487</v>
      </c>
    </row>
    <row r="24" spans="1:8" x14ac:dyDescent="0.3">
      <c r="A24">
        <v>360</v>
      </c>
      <c r="B24" s="1">
        <f t="shared" si="5"/>
        <v>101.77</v>
      </c>
      <c r="C24" s="1">
        <f t="shared" si="6"/>
        <v>19.65215682421146</v>
      </c>
      <c r="D24" s="1">
        <f t="shared" si="8"/>
        <v>0.81883986767547745</v>
      </c>
      <c r="F24">
        <v>1000</v>
      </c>
      <c r="G24" s="1">
        <f t="shared" si="9"/>
        <v>9.8260784121057299</v>
      </c>
      <c r="H24" s="1">
        <f t="shared" si="7"/>
        <v>0.40941993383773873</v>
      </c>
    </row>
    <row r="25" spans="1:8" x14ac:dyDescent="0.3">
      <c r="A25" s="7">
        <v>600</v>
      </c>
      <c r="B25" s="1">
        <f t="shared" si="5"/>
        <v>101.77</v>
      </c>
      <c r="C25" s="1">
        <f t="shared" si="6"/>
        <v>19.65215682421146</v>
      </c>
      <c r="D25" s="1">
        <f t="shared" si="8"/>
        <v>0.81883986767547745</v>
      </c>
      <c r="F25">
        <v>1500</v>
      </c>
      <c r="G25" s="1">
        <f t="shared" si="9"/>
        <v>14.739117618158593</v>
      </c>
      <c r="H25" s="1">
        <f t="shared" si="7"/>
        <v>0.614129900756608</v>
      </c>
    </row>
    <row r="26" spans="1:8" x14ac:dyDescent="0.3">
      <c r="A26" s="7">
        <v>1200</v>
      </c>
      <c r="B26" s="1">
        <f t="shared" si="5"/>
        <v>101.77</v>
      </c>
      <c r="C26" s="1">
        <f t="shared" si="6"/>
        <v>19.65215682421146</v>
      </c>
      <c r="D26" s="1">
        <f t="shared" si="8"/>
        <v>0.81883986767547745</v>
      </c>
      <c r="F26">
        <v>2000</v>
      </c>
      <c r="G26" s="1">
        <f t="shared" si="9"/>
        <v>19.65215682421146</v>
      </c>
      <c r="H26" s="1">
        <f t="shared" si="7"/>
        <v>0.81883986767547745</v>
      </c>
    </row>
    <row r="27" spans="1:8" x14ac:dyDescent="0.3">
      <c r="A27" s="7">
        <v>1800</v>
      </c>
      <c r="B27" s="1">
        <f t="shared" si="5"/>
        <v>101.77</v>
      </c>
      <c r="C27" s="1">
        <f t="shared" si="6"/>
        <v>19.65215682421146</v>
      </c>
      <c r="D27" s="1">
        <f t="shared" si="8"/>
        <v>0.81883986767547745</v>
      </c>
      <c r="F27">
        <v>3000</v>
      </c>
      <c r="G27" s="1">
        <f t="shared" si="9"/>
        <v>29.478235236317186</v>
      </c>
      <c r="H27" s="1">
        <f t="shared" si="7"/>
        <v>1.228259801513216</v>
      </c>
    </row>
    <row r="28" spans="1:8" x14ac:dyDescent="0.3">
      <c r="A28" s="7">
        <v>2400</v>
      </c>
      <c r="B28" s="1">
        <f t="shared" si="5"/>
        <v>101.77</v>
      </c>
      <c r="C28" s="1">
        <f t="shared" si="6"/>
        <v>19.65215682421146</v>
      </c>
      <c r="D28" s="1">
        <f t="shared" si="8"/>
        <v>0.81883986767547745</v>
      </c>
      <c r="F28">
        <v>4000</v>
      </c>
      <c r="G28" s="1">
        <f t="shared" si="9"/>
        <v>39.304313648422919</v>
      </c>
      <c r="H28" s="1">
        <f t="shared" si="7"/>
        <v>1.6376797353509549</v>
      </c>
    </row>
    <row r="29" spans="1:8" x14ac:dyDescent="0.3">
      <c r="A29" s="7">
        <v>3000</v>
      </c>
      <c r="B29" s="1">
        <f t="shared" si="5"/>
        <v>101.77</v>
      </c>
      <c r="C29" s="1">
        <f t="shared" si="6"/>
        <v>19.65215682421146</v>
      </c>
      <c r="D29" s="1">
        <f t="shared" si="8"/>
        <v>0.81883986767547745</v>
      </c>
    </row>
    <row r="30" spans="1:8" x14ac:dyDescent="0.3">
      <c r="A30" s="7">
        <v>3599</v>
      </c>
      <c r="B30" s="1">
        <f t="shared" si="5"/>
        <v>101.76999999999998</v>
      </c>
      <c r="C30" s="1">
        <f t="shared" si="6"/>
        <v>19.65215682421146</v>
      </c>
      <c r="D30" s="1">
        <f t="shared" si="8"/>
        <v>0.81883986767547745</v>
      </c>
    </row>
    <row r="31" spans="1:8" x14ac:dyDescent="0.3">
      <c r="A31" t="s">
        <v>34</v>
      </c>
      <c r="B31" s="1">
        <f>AVERAGE(B21:B30)</f>
        <v>101.77</v>
      </c>
      <c r="C31" s="1">
        <f t="shared" si="6"/>
        <v>19.65215682421146</v>
      </c>
      <c r="D31" s="1">
        <f t="shared" si="8"/>
        <v>0.81883986767547745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1B16-E35D-4283-B67F-B35E2685E3AC}">
  <dimension ref="A1:I44"/>
  <sheetViews>
    <sheetView zoomScale="63" zoomScaleNormal="73" workbookViewId="0">
      <selection activeCell="F20" sqref="F20:H28"/>
    </sheetView>
  </sheetViews>
  <sheetFormatPr baseColWidth="10" defaultRowHeight="14.4" x14ac:dyDescent="0.3"/>
  <cols>
    <col min="1" max="1" width="11.6640625" style="10" bestFit="1" customWidth="1"/>
    <col min="2" max="2" width="13.44140625" style="10" bestFit="1" customWidth="1"/>
    <col min="3" max="3" width="18.5546875" style="10" bestFit="1" customWidth="1"/>
    <col min="4" max="4" width="20.6640625" style="10" bestFit="1" customWidth="1"/>
    <col min="5" max="5" width="11.6640625" style="10" bestFit="1" customWidth="1"/>
    <col min="6" max="6" width="13.88671875" style="10" bestFit="1" customWidth="1"/>
    <col min="7" max="7" width="15.6640625" style="10" bestFit="1" customWidth="1"/>
    <col min="8" max="8" width="14.109375" style="10" customWidth="1"/>
    <col min="9" max="9" width="24.109375" style="10" bestFit="1" customWidth="1"/>
    <col min="10" max="10" width="24.44140625" style="10" bestFit="1" customWidth="1"/>
    <col min="11" max="16384" width="11.5546875" style="10"/>
  </cols>
  <sheetData>
    <row r="1" spans="1:9" x14ac:dyDescent="0.3">
      <c r="A1" s="10" t="s">
        <v>6</v>
      </c>
      <c r="B1" s="10" t="s">
        <v>37</v>
      </c>
      <c r="C1" s="11" t="s">
        <v>29</v>
      </c>
      <c r="D1" s="12" t="s">
        <v>18</v>
      </c>
      <c r="E1" s="11" t="s">
        <v>26</v>
      </c>
      <c r="F1" s="13" t="s">
        <v>5</v>
      </c>
      <c r="G1" s="14" t="s">
        <v>30</v>
      </c>
      <c r="H1" s="22" t="s">
        <v>41</v>
      </c>
      <c r="I1" s="15" t="s">
        <v>44</v>
      </c>
    </row>
    <row r="2" spans="1:9" x14ac:dyDescent="0.3">
      <c r="A2" s="8">
        <v>30</v>
      </c>
      <c r="B2" s="23">
        <f>$B$13/$A2</f>
        <v>120</v>
      </c>
      <c r="C2" s="21">
        <f>B2*E$16/B$13</f>
        <v>0.33333333333333331</v>
      </c>
      <c r="D2" s="9">
        <f t="shared" ref="D2:D11" si="0">E$14*(C2)+E$15*(1-C2)</f>
        <v>48.666666666666671</v>
      </c>
      <c r="E2" s="10">
        <v>1</v>
      </c>
      <c r="F2" s="16">
        <f>$B$14*(E2)+$B$15*(1-E2)</f>
        <v>4.5999999999999996</v>
      </c>
      <c r="G2" s="10">
        <v>0.17</v>
      </c>
      <c r="H2" s="16">
        <f>H$17/B$13</f>
        <v>8.3333333333333329E-2</v>
      </c>
      <c r="I2" s="9">
        <f>H2*H$15+(1-H2)*H$16</f>
        <v>3.1833333333333327</v>
      </c>
    </row>
    <row r="3" spans="1:9" x14ac:dyDescent="0.3">
      <c r="A3" s="8">
        <v>60</v>
      </c>
      <c r="B3" s="23">
        <f t="shared" ref="B3:B11" si="1">$B$13/$A3</f>
        <v>60</v>
      </c>
      <c r="C3" s="21">
        <f t="shared" ref="C3:C11" si="2">B3*E$16/B$13</f>
        <v>0.16666666666666666</v>
      </c>
      <c r="D3" s="9">
        <f t="shared" si="0"/>
        <v>45.833333333333336</v>
      </c>
      <c r="E3" s="10">
        <v>1</v>
      </c>
      <c r="F3" s="16">
        <f t="shared" ref="F3:F11" si="3">$B$14*E3+$B$15*(1-E3)</f>
        <v>4.5999999999999996</v>
      </c>
      <c r="G3" s="10">
        <v>0.17</v>
      </c>
      <c r="H3" s="16">
        <f t="shared" ref="H3:H11" si="4">H$17/B$13</f>
        <v>8.3333333333333329E-2</v>
      </c>
      <c r="I3" s="9">
        <f t="shared" ref="I3:I11" si="5">H3*H$15+(1-H3)*H$16</f>
        <v>3.1833333333333327</v>
      </c>
    </row>
    <row r="4" spans="1:9" x14ac:dyDescent="0.3">
      <c r="A4" s="8">
        <v>180</v>
      </c>
      <c r="B4" s="23">
        <f t="shared" si="1"/>
        <v>20</v>
      </c>
      <c r="C4" s="21">
        <f>B4*E$16/B$13</f>
        <v>5.5555555555555552E-2</v>
      </c>
      <c r="D4" s="9">
        <f t="shared" si="0"/>
        <v>43.944444444444443</v>
      </c>
      <c r="E4" s="10">
        <v>1</v>
      </c>
      <c r="F4" s="16">
        <f t="shared" si="3"/>
        <v>4.5999999999999996</v>
      </c>
      <c r="G4" s="10">
        <v>0.17</v>
      </c>
      <c r="H4" s="16">
        <f t="shared" si="4"/>
        <v>8.3333333333333329E-2</v>
      </c>
      <c r="I4" s="9">
        <f t="shared" si="5"/>
        <v>3.1833333333333327</v>
      </c>
    </row>
    <row r="5" spans="1:9" x14ac:dyDescent="0.3">
      <c r="A5" s="8">
        <v>360</v>
      </c>
      <c r="B5" s="23">
        <f t="shared" si="1"/>
        <v>10</v>
      </c>
      <c r="C5" s="21">
        <f t="shared" si="2"/>
        <v>2.7777777777777776E-2</v>
      </c>
      <c r="D5" s="9">
        <f t="shared" si="0"/>
        <v>43.472222222222221</v>
      </c>
      <c r="E5" s="10">
        <v>1</v>
      </c>
      <c r="F5" s="16">
        <f t="shared" si="3"/>
        <v>4.5999999999999996</v>
      </c>
      <c r="G5" s="10">
        <v>0.17</v>
      </c>
      <c r="H5" s="16">
        <f t="shared" si="4"/>
        <v>8.3333333333333329E-2</v>
      </c>
      <c r="I5" s="9">
        <f t="shared" si="5"/>
        <v>3.1833333333333327</v>
      </c>
    </row>
    <row r="6" spans="1:9" x14ac:dyDescent="0.3">
      <c r="A6" s="8">
        <v>600</v>
      </c>
      <c r="B6" s="23">
        <f>$B$13/$A6</f>
        <v>6</v>
      </c>
      <c r="C6" s="21">
        <f t="shared" si="2"/>
        <v>1.6666666666666666E-2</v>
      </c>
      <c r="D6" s="9">
        <f t="shared" si="0"/>
        <v>43.283333333333331</v>
      </c>
      <c r="E6" s="10">
        <v>1</v>
      </c>
      <c r="F6" s="16">
        <f t="shared" si="3"/>
        <v>4.5999999999999996</v>
      </c>
      <c r="G6" s="10">
        <v>0.17</v>
      </c>
      <c r="H6" s="16">
        <f t="shared" si="4"/>
        <v>8.3333333333333329E-2</v>
      </c>
      <c r="I6" s="9">
        <f t="shared" si="5"/>
        <v>3.1833333333333327</v>
      </c>
    </row>
    <row r="7" spans="1:9" x14ac:dyDescent="0.3">
      <c r="A7" s="8">
        <v>1200</v>
      </c>
      <c r="B7" s="23">
        <f t="shared" si="1"/>
        <v>3</v>
      </c>
      <c r="C7" s="21">
        <f t="shared" si="2"/>
        <v>8.3333333333333332E-3</v>
      </c>
      <c r="D7" s="9">
        <f t="shared" si="0"/>
        <v>43.141666666666666</v>
      </c>
      <c r="E7" s="10">
        <v>1</v>
      </c>
      <c r="F7" s="16">
        <f t="shared" si="3"/>
        <v>4.5999999999999996</v>
      </c>
      <c r="G7" s="10">
        <v>0.17</v>
      </c>
      <c r="H7" s="16">
        <f t="shared" si="4"/>
        <v>8.3333333333333329E-2</v>
      </c>
      <c r="I7" s="9">
        <f t="shared" si="5"/>
        <v>3.1833333333333327</v>
      </c>
    </row>
    <row r="8" spans="1:9" x14ac:dyDescent="0.3">
      <c r="A8" s="8">
        <v>1800</v>
      </c>
      <c r="B8" s="23">
        <f t="shared" si="1"/>
        <v>2</v>
      </c>
      <c r="C8" s="21">
        <f t="shared" si="2"/>
        <v>5.5555555555555558E-3</v>
      </c>
      <c r="D8" s="9">
        <f t="shared" si="0"/>
        <v>43.094444444444449</v>
      </c>
      <c r="E8" s="10">
        <v>1</v>
      </c>
      <c r="F8" s="16">
        <f t="shared" si="3"/>
        <v>4.5999999999999996</v>
      </c>
      <c r="G8" s="10">
        <v>0.17</v>
      </c>
      <c r="H8" s="16">
        <f t="shared" si="4"/>
        <v>8.3333333333333329E-2</v>
      </c>
      <c r="I8" s="9">
        <f t="shared" si="5"/>
        <v>3.1833333333333327</v>
      </c>
    </row>
    <row r="9" spans="1:9" x14ac:dyDescent="0.3">
      <c r="A9" s="8">
        <v>2400</v>
      </c>
      <c r="B9" s="23">
        <f t="shared" si="1"/>
        <v>1.5</v>
      </c>
      <c r="C9" s="21">
        <f t="shared" si="2"/>
        <v>4.1666666666666666E-3</v>
      </c>
      <c r="D9" s="9">
        <f t="shared" si="0"/>
        <v>43.070833333333333</v>
      </c>
      <c r="E9" s="10">
        <v>1</v>
      </c>
      <c r="F9" s="16">
        <f t="shared" si="3"/>
        <v>4.5999999999999996</v>
      </c>
      <c r="G9" s="10">
        <v>0.17</v>
      </c>
      <c r="H9" s="16">
        <f t="shared" si="4"/>
        <v>8.3333333333333329E-2</v>
      </c>
      <c r="I9" s="9">
        <f t="shared" si="5"/>
        <v>3.1833333333333327</v>
      </c>
    </row>
    <row r="10" spans="1:9" x14ac:dyDescent="0.3">
      <c r="A10" s="8">
        <v>3000</v>
      </c>
      <c r="B10" s="23">
        <f t="shared" si="1"/>
        <v>1.2</v>
      </c>
      <c r="C10" s="21">
        <f t="shared" si="2"/>
        <v>3.3333333333333335E-3</v>
      </c>
      <c r="D10" s="9">
        <f t="shared" si="0"/>
        <v>43.056666666666672</v>
      </c>
      <c r="E10" s="10">
        <v>1</v>
      </c>
      <c r="F10" s="16">
        <f t="shared" si="3"/>
        <v>4.5999999999999996</v>
      </c>
      <c r="G10" s="10">
        <v>0.17</v>
      </c>
      <c r="H10" s="16">
        <f t="shared" si="4"/>
        <v>8.3333333333333329E-2</v>
      </c>
      <c r="I10" s="9">
        <f t="shared" si="5"/>
        <v>3.1833333333333327</v>
      </c>
    </row>
    <row r="11" spans="1:9" x14ac:dyDescent="0.3">
      <c r="A11" s="8">
        <v>3599</v>
      </c>
      <c r="B11" s="23">
        <f t="shared" si="1"/>
        <v>1.0002778549597111</v>
      </c>
      <c r="C11" s="21">
        <f t="shared" si="2"/>
        <v>2.7785495971103082E-3</v>
      </c>
      <c r="D11" s="9">
        <f t="shared" si="0"/>
        <v>43.047235343150874</v>
      </c>
      <c r="E11" s="10">
        <v>1</v>
      </c>
      <c r="F11" s="16">
        <f t="shared" si="3"/>
        <v>4.5999999999999996</v>
      </c>
      <c r="G11" s="10">
        <v>0.17</v>
      </c>
      <c r="H11" s="16">
        <f t="shared" si="4"/>
        <v>8.3333333333333329E-2</v>
      </c>
      <c r="I11" s="9">
        <f t="shared" si="5"/>
        <v>3.1833333333333327</v>
      </c>
    </row>
    <row r="13" spans="1:9" x14ac:dyDescent="0.3">
      <c r="A13" s="10" t="s">
        <v>4</v>
      </c>
      <c r="B13" s="10">
        <v>3600</v>
      </c>
      <c r="C13" s="10" t="s">
        <v>8</v>
      </c>
    </row>
    <row r="14" spans="1:9" x14ac:dyDescent="0.3">
      <c r="A14" s="13" t="s">
        <v>3</v>
      </c>
      <c r="B14" s="13">
        <v>4.5999999999999996</v>
      </c>
      <c r="C14" s="13" t="s">
        <v>0</v>
      </c>
      <c r="D14" s="12" t="s">
        <v>16</v>
      </c>
      <c r="E14" s="12">
        <v>60</v>
      </c>
      <c r="F14" s="12" t="s">
        <v>0</v>
      </c>
      <c r="G14" s="17" t="s">
        <v>22</v>
      </c>
      <c r="H14" s="17">
        <v>2000</v>
      </c>
      <c r="I14" s="17" t="s">
        <v>23</v>
      </c>
    </row>
    <row r="15" spans="1:9" x14ac:dyDescent="0.3">
      <c r="A15" s="13" t="s">
        <v>10</v>
      </c>
      <c r="B15" s="13">
        <v>0.6</v>
      </c>
      <c r="C15" s="13" t="s">
        <v>0</v>
      </c>
      <c r="D15" s="12" t="s">
        <v>19</v>
      </c>
      <c r="E15" s="12">
        <v>43</v>
      </c>
      <c r="F15" s="12" t="s">
        <v>0</v>
      </c>
      <c r="G15" s="15" t="s">
        <v>42</v>
      </c>
      <c r="H15" s="15">
        <v>25</v>
      </c>
      <c r="I15" s="15" t="s">
        <v>0</v>
      </c>
    </row>
    <row r="16" spans="1:9" x14ac:dyDescent="0.3">
      <c r="D16" s="12" t="s">
        <v>45</v>
      </c>
      <c r="E16" s="12">
        <v>10</v>
      </c>
      <c r="F16" s="12" t="s">
        <v>8</v>
      </c>
      <c r="G16" s="15" t="s">
        <v>43</v>
      </c>
      <c r="H16" s="15">
        <v>1.2</v>
      </c>
      <c r="I16" s="15" t="s">
        <v>0</v>
      </c>
    </row>
    <row r="17" spans="1:9" x14ac:dyDescent="0.3">
      <c r="G17" s="15" t="s">
        <v>45</v>
      </c>
      <c r="H17" s="15">
        <v>300</v>
      </c>
      <c r="I17" s="15" t="s">
        <v>8</v>
      </c>
    </row>
    <row r="20" spans="1:9" x14ac:dyDescent="0.3">
      <c r="A20" s="10" t="s">
        <v>6</v>
      </c>
      <c r="B20" s="10" t="s">
        <v>21</v>
      </c>
      <c r="C20" s="10" t="s">
        <v>36</v>
      </c>
      <c r="D20" s="10" t="s">
        <v>1</v>
      </c>
      <c r="F20" s="10" t="s">
        <v>35</v>
      </c>
      <c r="G20" s="10" t="s">
        <v>33</v>
      </c>
      <c r="H20" s="10" t="s">
        <v>1</v>
      </c>
    </row>
    <row r="21" spans="1:9" x14ac:dyDescent="0.3">
      <c r="A21" s="8">
        <v>30</v>
      </c>
      <c r="B21" s="9">
        <f t="shared" ref="B21:B30" si="6">D2+F2+G2+I2</f>
        <v>56.620000000000005</v>
      </c>
      <c r="C21" s="9">
        <f t="shared" ref="C21:C31" si="7">$H$14/B21</f>
        <v>35.323207347227125</v>
      </c>
      <c r="D21" s="9">
        <f>C21/24</f>
        <v>1.4718003061344636</v>
      </c>
      <c r="F21" s="10">
        <v>500</v>
      </c>
      <c r="G21" s="9">
        <f>$F21/$B$31</f>
        <v>9.612719308022994</v>
      </c>
      <c r="H21" s="9">
        <f t="shared" ref="H21:H28" si="8">$G21/24</f>
        <v>0.40052997116762473</v>
      </c>
    </row>
    <row r="22" spans="1:9" x14ac:dyDescent="0.3">
      <c r="A22" s="8">
        <v>60</v>
      </c>
      <c r="B22" s="9">
        <f t="shared" si="6"/>
        <v>53.786666666666669</v>
      </c>
      <c r="C22" s="9">
        <f t="shared" si="7"/>
        <v>37.183936539414972</v>
      </c>
      <c r="D22" s="9">
        <f t="shared" ref="D22:D24" si="9">C22/24</f>
        <v>1.5493306891422904</v>
      </c>
      <c r="F22" s="10">
        <v>700</v>
      </c>
      <c r="G22" s="9">
        <f t="shared" ref="G22:G28" si="10">$F22/$B$31</f>
        <v>13.457807031232191</v>
      </c>
      <c r="H22" s="9">
        <f t="shared" si="8"/>
        <v>0.56074195963467466</v>
      </c>
    </row>
    <row r="23" spans="1:9" x14ac:dyDescent="0.3">
      <c r="A23" s="8">
        <v>180</v>
      </c>
      <c r="B23" s="9">
        <f t="shared" si="6"/>
        <v>51.897777777777776</v>
      </c>
      <c r="C23" s="9">
        <f t="shared" si="7"/>
        <v>38.537295538237565</v>
      </c>
      <c r="D23" s="9">
        <f t="shared" si="9"/>
        <v>1.6057206474265653</v>
      </c>
      <c r="F23" s="10">
        <v>900</v>
      </c>
      <c r="G23" s="9">
        <f t="shared" si="10"/>
        <v>17.30289475444139</v>
      </c>
      <c r="H23" s="9">
        <f t="shared" si="8"/>
        <v>0.72095394810172453</v>
      </c>
    </row>
    <row r="24" spans="1:9" x14ac:dyDescent="0.3">
      <c r="A24" s="8">
        <v>360</v>
      </c>
      <c r="B24" s="9">
        <f t="shared" si="6"/>
        <v>51.425555555555555</v>
      </c>
      <c r="C24" s="9">
        <f t="shared" si="7"/>
        <v>38.891169543893007</v>
      </c>
      <c r="D24" s="9">
        <f t="shared" si="9"/>
        <v>1.6204653976622085</v>
      </c>
      <c r="F24" s="10">
        <v>1000</v>
      </c>
      <c r="G24" s="9">
        <f t="shared" si="10"/>
        <v>19.225438616045988</v>
      </c>
      <c r="H24" s="9">
        <f t="shared" si="8"/>
        <v>0.80105994233524946</v>
      </c>
    </row>
    <row r="25" spans="1:9" x14ac:dyDescent="0.3">
      <c r="A25" s="8">
        <v>600</v>
      </c>
      <c r="B25" s="9">
        <f t="shared" si="6"/>
        <v>51.236666666666665</v>
      </c>
      <c r="C25" s="9">
        <f t="shared" si="7"/>
        <v>39.034545572831959</v>
      </c>
      <c r="D25" s="9">
        <f t="shared" ref="D25:D31" si="11">C25/24</f>
        <v>1.6264393988679984</v>
      </c>
      <c r="F25" s="10">
        <v>1500</v>
      </c>
      <c r="G25" s="9">
        <f t="shared" si="10"/>
        <v>28.83815792406898</v>
      </c>
      <c r="H25" s="9">
        <f t="shared" si="8"/>
        <v>1.2015899135028743</v>
      </c>
    </row>
    <row r="26" spans="1:9" x14ac:dyDescent="0.3">
      <c r="A26" s="8">
        <v>1200</v>
      </c>
      <c r="B26" s="9">
        <f t="shared" si="6"/>
        <v>51.094999999999999</v>
      </c>
      <c r="C26" s="9">
        <f t="shared" si="7"/>
        <v>39.142773265485857</v>
      </c>
      <c r="D26" s="9">
        <f t="shared" si="11"/>
        <v>1.6309488860619108</v>
      </c>
      <c r="F26" s="10">
        <v>2000</v>
      </c>
      <c r="G26" s="9">
        <f t="shared" si="10"/>
        <v>38.450877232091976</v>
      </c>
      <c r="H26" s="9">
        <f t="shared" si="8"/>
        <v>1.6021198846704989</v>
      </c>
    </row>
    <row r="27" spans="1:9" x14ac:dyDescent="0.3">
      <c r="A27" s="8">
        <v>1800</v>
      </c>
      <c r="B27" s="9">
        <f t="shared" si="6"/>
        <v>51.047777777777782</v>
      </c>
      <c r="C27" s="9">
        <f t="shared" si="7"/>
        <v>39.178982652417126</v>
      </c>
      <c r="D27" s="9">
        <f t="shared" si="11"/>
        <v>1.6324576105173803</v>
      </c>
      <c r="F27" s="10">
        <v>3000</v>
      </c>
      <c r="G27" s="9">
        <f t="shared" si="10"/>
        <v>57.676315848137961</v>
      </c>
      <c r="H27" s="9">
        <f t="shared" si="8"/>
        <v>2.4031798270057485</v>
      </c>
    </row>
    <row r="28" spans="1:9" x14ac:dyDescent="0.3">
      <c r="A28" s="8">
        <v>2400</v>
      </c>
      <c r="B28" s="9">
        <f t="shared" si="6"/>
        <v>51.024166666666666</v>
      </c>
      <c r="C28" s="9">
        <f t="shared" si="7"/>
        <v>39.197112479380685</v>
      </c>
      <c r="D28" s="9">
        <f t="shared" si="11"/>
        <v>1.6332130199741952</v>
      </c>
      <c r="F28" s="10">
        <v>4000</v>
      </c>
      <c r="G28" s="9">
        <f t="shared" si="10"/>
        <v>76.901754464183952</v>
      </c>
      <c r="H28" s="9">
        <f t="shared" si="8"/>
        <v>3.2042397693409979</v>
      </c>
    </row>
    <row r="29" spans="1:9" x14ac:dyDescent="0.3">
      <c r="A29" s="8">
        <v>3000</v>
      </c>
      <c r="B29" s="9">
        <f t="shared" si="6"/>
        <v>51.010000000000005</v>
      </c>
      <c r="C29" s="9">
        <f t="shared" si="7"/>
        <v>39.20799843168006</v>
      </c>
      <c r="D29" s="9">
        <f t="shared" si="11"/>
        <v>1.6336666013200025</v>
      </c>
    </row>
    <row r="30" spans="1:9" x14ac:dyDescent="0.3">
      <c r="A30" s="8">
        <v>3599</v>
      </c>
      <c r="B30" s="9">
        <f t="shared" si="6"/>
        <v>51.000568676484207</v>
      </c>
      <c r="C30" s="9">
        <f t="shared" si="7"/>
        <v>39.215249004119002</v>
      </c>
      <c r="D30" s="9">
        <f t="shared" si="11"/>
        <v>1.6339687085049583</v>
      </c>
    </row>
    <row r="31" spans="1:9" x14ac:dyDescent="0.3">
      <c r="A31" s="10" t="s">
        <v>34</v>
      </c>
      <c r="B31" s="9">
        <f>AVERAGE(B21:B30)</f>
        <v>52.014417978759525</v>
      </c>
      <c r="C31" s="9">
        <f t="shared" si="7"/>
        <v>38.450877232091976</v>
      </c>
      <c r="D31" s="9">
        <f t="shared" si="11"/>
        <v>1.6021198846704989</v>
      </c>
    </row>
    <row r="33" spans="1:4" x14ac:dyDescent="0.3">
      <c r="A33" s="10" t="s">
        <v>6</v>
      </c>
      <c r="B33" s="10" t="s">
        <v>21</v>
      </c>
      <c r="C33" s="10" t="s">
        <v>2</v>
      </c>
      <c r="D33" s="10" t="s">
        <v>1</v>
      </c>
    </row>
    <row r="34" spans="1:4" x14ac:dyDescent="0.3">
      <c r="A34" s="8">
        <v>30</v>
      </c>
      <c r="B34" s="9">
        <v>101.77</v>
      </c>
      <c r="C34" s="9">
        <v>19.65215682421146</v>
      </c>
      <c r="D34" s="9">
        <v>0.81883986767547745</v>
      </c>
    </row>
    <row r="35" spans="1:4" x14ac:dyDescent="0.3">
      <c r="A35" s="8">
        <v>60</v>
      </c>
      <c r="B35" s="9">
        <v>101.77</v>
      </c>
      <c r="C35" s="9">
        <v>19.65215682421146</v>
      </c>
      <c r="D35" s="9">
        <v>0.81883986767547745</v>
      </c>
    </row>
    <row r="36" spans="1:4" x14ac:dyDescent="0.3">
      <c r="A36" s="10">
        <v>180</v>
      </c>
      <c r="B36" s="9">
        <v>101.77</v>
      </c>
      <c r="C36" s="9">
        <v>19.65215682421146</v>
      </c>
      <c r="D36" s="9">
        <v>0.81883986767547745</v>
      </c>
    </row>
    <row r="37" spans="1:4" x14ac:dyDescent="0.3">
      <c r="A37" s="10">
        <v>360</v>
      </c>
      <c r="B37" s="9">
        <v>101.77</v>
      </c>
      <c r="C37" s="9">
        <v>19.65215682421146</v>
      </c>
      <c r="D37" s="9">
        <v>0.81883986767547745</v>
      </c>
    </row>
    <row r="38" spans="1:4" x14ac:dyDescent="0.3">
      <c r="A38" s="8">
        <v>600</v>
      </c>
      <c r="B38" s="9">
        <v>101.77</v>
      </c>
      <c r="C38" s="9">
        <v>19.65215682421146</v>
      </c>
      <c r="D38" s="9">
        <v>0.81883986767547745</v>
      </c>
    </row>
    <row r="39" spans="1:4" x14ac:dyDescent="0.3">
      <c r="A39" s="8">
        <v>1200</v>
      </c>
      <c r="B39" s="9">
        <v>101.77</v>
      </c>
      <c r="C39" s="9">
        <v>19.65215682421146</v>
      </c>
      <c r="D39" s="9">
        <v>0.81883986767547745</v>
      </c>
    </row>
    <row r="40" spans="1:4" x14ac:dyDescent="0.3">
      <c r="A40" s="8">
        <v>1800</v>
      </c>
      <c r="B40" s="9">
        <v>101.77</v>
      </c>
      <c r="C40" s="9">
        <v>19.65215682421146</v>
      </c>
      <c r="D40" s="9">
        <v>0.81883986767547745</v>
      </c>
    </row>
    <row r="41" spans="1:4" x14ac:dyDescent="0.3">
      <c r="A41" s="8">
        <v>2400</v>
      </c>
      <c r="B41" s="9">
        <v>101.77</v>
      </c>
      <c r="C41" s="9">
        <v>19.65215682421146</v>
      </c>
      <c r="D41" s="9">
        <v>0.81883986767547745</v>
      </c>
    </row>
    <row r="42" spans="1:4" x14ac:dyDescent="0.3">
      <c r="A42" s="8">
        <v>3000</v>
      </c>
      <c r="B42" s="9">
        <v>101.77</v>
      </c>
      <c r="C42" s="9">
        <v>19.65215682421146</v>
      </c>
      <c r="D42" s="9">
        <v>0.81883986767547745</v>
      </c>
    </row>
    <row r="43" spans="1:4" x14ac:dyDescent="0.3">
      <c r="A43" s="8">
        <v>3599</v>
      </c>
      <c r="B43" s="9">
        <v>101.76999999999998</v>
      </c>
      <c r="C43" s="9">
        <v>19.65215682421146</v>
      </c>
      <c r="D43" s="9">
        <v>0.81883986767547745</v>
      </c>
    </row>
    <row r="44" spans="1:4" x14ac:dyDescent="0.3">
      <c r="A44" s="10" t="s">
        <v>34</v>
      </c>
      <c r="B44" s="9">
        <v>101.77</v>
      </c>
      <c r="C44" s="9">
        <v>19.65215682421146</v>
      </c>
      <c r="D44" s="9">
        <v>0.81883986767547745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Mascota - Original</vt:lpstr>
      <vt:lpstr>Mascota - Optimización</vt:lpstr>
      <vt:lpstr>Usuario - Original</vt:lpstr>
      <vt:lpstr>Usuario - Optimizado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LECHON RODRIGUEZ</dc:creator>
  <cp:lastModifiedBy>VERONICA LECHON RODRIGUEZ</cp:lastModifiedBy>
  <dcterms:created xsi:type="dcterms:W3CDTF">2025-09-28T06:39:28Z</dcterms:created>
  <dcterms:modified xsi:type="dcterms:W3CDTF">2025-11-03T11:47:34Z</dcterms:modified>
</cp:coreProperties>
</file>